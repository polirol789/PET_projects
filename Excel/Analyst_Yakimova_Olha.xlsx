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hidePivotFieldList="1"/>
  <mc:AlternateContent xmlns:mc="http://schemas.openxmlformats.org/markup-compatibility/2006">
    <mc:Choice Requires="x15">
      <x15ac:absPath xmlns:x15ac="http://schemas.microsoft.com/office/spreadsheetml/2010/11/ac" url="E:\DA\1Tests\SoftSvit\"/>
    </mc:Choice>
  </mc:AlternateContent>
  <xr:revisionPtr revIDLastSave="0" documentId="13_ncr:1_{1E30392D-7E0C-4525-AA3B-0A71A72474EF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Дані" sheetId="1" r:id="rId1"/>
    <sheet name="Завдання 1" sheetId="2" r:id="rId2"/>
    <sheet name="Завдання 2" sheetId="3" r:id="rId3"/>
    <sheet name="Завдання 3" sheetId="4" r:id="rId4"/>
    <sheet name="Завдання 4" sheetId="5" r:id="rId5"/>
    <sheet name="Завдання 5" sheetId="6" r:id="rId6"/>
    <sheet name="Pivot table" sheetId="7" r:id="rId7"/>
  </sheets>
  <definedNames>
    <definedName name="_xlnm._FilterDatabase" localSheetId="0" hidden="1">Дані!$A$1:$H$69</definedName>
    <definedName name="_xlnm._FilterDatabase" localSheetId="4" hidden="1">'Завдання 4'!$A$10:$K$328</definedName>
    <definedName name="_xlnm._FilterDatabase" localSheetId="5" hidden="1">'Завдання 5'!$A$1:$D$368</definedName>
  </definedName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8" i="2" l="1"/>
  <c r="AI18" i="2"/>
  <c r="AH26" i="2"/>
  <c r="AH27" i="2"/>
  <c r="AH28" i="2"/>
  <c r="AH29" i="2"/>
  <c r="AH30" i="2"/>
  <c r="AH31" i="2"/>
  <c r="AH32" i="2"/>
  <c r="AH33" i="2"/>
  <c r="AH34" i="2"/>
  <c r="AH35" i="2"/>
  <c r="AH19" i="2"/>
  <c r="AH20" i="2"/>
  <c r="AH21" i="2"/>
  <c r="AH22" i="2"/>
  <c r="AH23" i="2"/>
  <c r="AH24" i="2"/>
  <c r="AH25" i="2"/>
  <c r="AH18" i="2"/>
  <c r="K12" i="5" l="1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1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11" i="5"/>
  <c r="E27" i="4"/>
  <c r="G11" i="4" s="1"/>
  <c r="E16" i="4"/>
  <c r="E12" i="4"/>
  <c r="E13" i="4"/>
  <c r="G26" i="4"/>
  <c r="G24" i="4"/>
  <c r="G23" i="4"/>
  <c r="G22" i="4"/>
  <c r="G21" i="4"/>
  <c r="G20" i="4"/>
  <c r="G19" i="4"/>
  <c r="G18" i="4"/>
  <c r="G16" i="4"/>
  <c r="G17" i="4"/>
  <c r="G14" i="4"/>
  <c r="G13" i="4"/>
  <c r="G12" i="4"/>
  <c r="G10" i="4"/>
  <c r="G9" i="4"/>
  <c r="G8" i="4"/>
  <c r="E6" i="4"/>
  <c r="E7" i="4"/>
  <c r="E8" i="4"/>
  <c r="E9" i="4"/>
  <c r="E10" i="4"/>
  <c r="E11" i="4"/>
  <c r="E14" i="4"/>
  <c r="E15" i="4"/>
  <c r="E17" i="4"/>
  <c r="E18" i="4"/>
  <c r="E19" i="4"/>
  <c r="E20" i="4"/>
  <c r="E21" i="4"/>
  <c r="E22" i="4"/>
  <c r="E23" i="4"/>
  <c r="E24" i="4"/>
  <c r="E25" i="4"/>
  <c r="E26" i="4"/>
  <c r="E28" i="4"/>
  <c r="E29" i="4"/>
  <c r="E5" i="4"/>
  <c r="G6" i="4"/>
  <c r="E40" i="3"/>
  <c r="E39" i="3"/>
  <c r="E38" i="3"/>
  <c r="E37" i="3"/>
  <c r="D40" i="3"/>
  <c r="D39" i="3"/>
  <c r="D38" i="3"/>
  <c r="D37" i="3"/>
  <c r="C40" i="3"/>
  <c r="C39" i="3"/>
  <c r="C38" i="3"/>
  <c r="C37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2" i="1"/>
  <c r="E32" i="3"/>
  <c r="E31" i="3"/>
  <c r="E30" i="3"/>
  <c r="E29" i="3"/>
  <c r="D32" i="3"/>
  <c r="D31" i="3"/>
  <c r="D30" i="3"/>
  <c r="D29" i="3"/>
  <c r="C32" i="3"/>
  <c r="C31" i="3"/>
  <c r="C30" i="3"/>
  <c r="C29" i="3"/>
  <c r="C24" i="3"/>
  <c r="C23" i="3"/>
  <c r="C22" i="3"/>
  <c r="C21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2" i="1"/>
  <c r="E15" i="3"/>
  <c r="E14" i="3"/>
  <c r="D15" i="3"/>
  <c r="D14" i="3"/>
  <c r="C15" i="3"/>
  <c r="C14" i="3"/>
  <c r="E9" i="3"/>
  <c r="E8" i="3"/>
  <c r="E7" i="3"/>
  <c r="E6" i="3"/>
  <c r="D9" i="3"/>
  <c r="D8" i="3"/>
  <c r="D7" i="3"/>
  <c r="D6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2" i="1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18" i="2"/>
  <c r="E92" i="2"/>
  <c r="D91" i="2"/>
  <c r="D93" i="2"/>
  <c r="F91" i="2"/>
  <c r="F94" i="2"/>
  <c r="D94" i="2"/>
  <c r="G92" i="2"/>
  <c r="G94" i="2"/>
  <c r="F92" i="2"/>
  <c r="G93" i="2"/>
  <c r="G91" i="2"/>
  <c r="E91" i="2"/>
  <c r="D92" i="2"/>
  <c r="F93" i="2"/>
  <c r="E93" i="2"/>
  <c r="E94" i="2"/>
  <c r="G7" i="4" l="1"/>
  <c r="G15" i="4"/>
  <c r="G25" i="4"/>
  <c r="H92" i="2"/>
  <c r="H91" i="2"/>
  <c r="H94" i="2"/>
  <c r="C6" i="3"/>
  <c r="H93" i="2"/>
  <c r="C9" i="3"/>
  <c r="C8" i="3"/>
  <c r="C7" i="3"/>
</calcChain>
</file>

<file path=xl/sharedStrings.xml><?xml version="1.0" encoding="utf-8"?>
<sst xmlns="http://schemas.openxmlformats.org/spreadsheetml/2006/main" count="3328" uniqueCount="404">
  <si>
    <t>пол</t>
  </si>
  <si>
    <t>оклад, €</t>
  </si>
  <si>
    <t>Антонова</t>
  </si>
  <si>
    <t>Анна</t>
  </si>
  <si>
    <t>ж</t>
  </si>
  <si>
    <t>АПС</t>
  </si>
  <si>
    <t>Протопопов</t>
  </si>
  <si>
    <t>Владимир</t>
  </si>
  <si>
    <t>Валентинович</t>
  </si>
  <si>
    <t>м</t>
  </si>
  <si>
    <t>ТКБ</t>
  </si>
  <si>
    <t>Смирнова</t>
  </si>
  <si>
    <t>Раиса</t>
  </si>
  <si>
    <t>ОТД</t>
  </si>
  <si>
    <t>Виктор</t>
  </si>
  <si>
    <t>Борисович</t>
  </si>
  <si>
    <t>Юрий</t>
  </si>
  <si>
    <t>Иванович</t>
  </si>
  <si>
    <t>ОНК</t>
  </si>
  <si>
    <t>Кротова</t>
  </si>
  <si>
    <t>Колобова</t>
  </si>
  <si>
    <t>Крупинов</t>
  </si>
  <si>
    <t>Александр</t>
  </si>
  <si>
    <t>Шичко</t>
  </si>
  <si>
    <t>Любовь</t>
  </si>
  <si>
    <t>Гусев</t>
  </si>
  <si>
    <t>Александрович</t>
  </si>
  <si>
    <t>Грушин</t>
  </si>
  <si>
    <t>Владимирович</t>
  </si>
  <si>
    <t>Медникова</t>
  </si>
  <si>
    <t>Вячеслав</t>
  </si>
  <si>
    <t>Петелин</t>
  </si>
  <si>
    <t>Петрович</t>
  </si>
  <si>
    <t>Сидоров</t>
  </si>
  <si>
    <t>Бахарев</t>
  </si>
  <si>
    <t>Павлович</t>
  </si>
  <si>
    <t>Михайлов</t>
  </si>
  <si>
    <t>Леонидович</t>
  </si>
  <si>
    <t>Бородкин</t>
  </si>
  <si>
    <t>Кошкин</t>
  </si>
  <si>
    <t>Воронов</t>
  </si>
  <si>
    <t>Степанова</t>
  </si>
  <si>
    <t>Татьяна</t>
  </si>
  <si>
    <t>Кудрявцев</t>
  </si>
  <si>
    <t>Кубарев</t>
  </si>
  <si>
    <t>Симонов</t>
  </si>
  <si>
    <t>Толубеев</t>
  </si>
  <si>
    <t>Давиденко</t>
  </si>
  <si>
    <t>Трофимовна</t>
  </si>
  <si>
    <t>Сенин</t>
  </si>
  <si>
    <t>Семенович</t>
  </si>
  <si>
    <t>Ромов</t>
  </si>
  <si>
    <t>Потапов</t>
  </si>
  <si>
    <t>Павел</t>
  </si>
  <si>
    <t>Викторович</t>
  </si>
  <si>
    <t>Муравьев</t>
  </si>
  <si>
    <t>Верховский</t>
  </si>
  <si>
    <t>Клокова</t>
  </si>
  <si>
    <t>Щеглов</t>
  </si>
  <si>
    <t>Михайлович</t>
  </si>
  <si>
    <t>Трофимов</t>
  </si>
  <si>
    <t>Галкина</t>
  </si>
  <si>
    <t>Мария</t>
  </si>
  <si>
    <t>Александровна</t>
  </si>
  <si>
    <t>Шатов</t>
  </si>
  <si>
    <t>Михайленко</t>
  </si>
  <si>
    <t>Алексей</t>
  </si>
  <si>
    <t>Александров</t>
  </si>
  <si>
    <t>Пряхин</t>
  </si>
  <si>
    <t>Пирожкова</t>
  </si>
  <si>
    <t>Парфенов</t>
  </si>
  <si>
    <t>Дмитрий</t>
  </si>
  <si>
    <t>Ступина</t>
  </si>
  <si>
    <t>Барсуков</t>
  </si>
  <si>
    <t>Ермаков</t>
  </si>
  <si>
    <t>Олег</t>
  </si>
  <si>
    <t>Котов</t>
  </si>
  <si>
    <t>Григорьев</t>
  </si>
  <si>
    <t>Яковлевич</t>
  </si>
  <si>
    <t>Фролов</t>
  </si>
  <si>
    <t>Путов</t>
  </si>
  <si>
    <t>Эрнст</t>
  </si>
  <si>
    <t>Птицын</t>
  </si>
  <si>
    <t>Ермилов</t>
  </si>
  <si>
    <t>Вершинин</t>
  </si>
  <si>
    <t>Антонов</t>
  </si>
  <si>
    <t>Алексевич</t>
  </si>
  <si>
    <t>Кирсанов</t>
  </si>
  <si>
    <t>Дмитриев</t>
  </si>
  <si>
    <t>Солодов</t>
  </si>
  <si>
    <t>Сейфетдинова</t>
  </si>
  <si>
    <t>Наиля</t>
  </si>
  <si>
    <t>Абрикосова</t>
  </si>
  <si>
    <t>Елена</t>
  </si>
  <si>
    <t>Медведев</t>
  </si>
  <si>
    <t>Голубкова</t>
  </si>
  <si>
    <t>Антонина</t>
  </si>
  <si>
    <t>Петровна</t>
  </si>
  <si>
    <t>Кутяев</t>
  </si>
  <si>
    <t>Мосин</t>
  </si>
  <si>
    <t>Гришин</t>
  </si>
  <si>
    <t>Морозов</t>
  </si>
  <si>
    <t>Маркова</t>
  </si>
  <si>
    <t>Абрамов</t>
  </si>
  <si>
    <t>Соколов</t>
  </si>
  <si>
    <t>Михеев</t>
  </si>
  <si>
    <t>Платова</t>
  </si>
  <si>
    <t>Людмила</t>
  </si>
  <si>
    <t>Пантелеевна</t>
  </si>
  <si>
    <t>Прізвище</t>
  </si>
  <si>
    <t>Імя</t>
  </si>
  <si>
    <t>По-батькова</t>
  </si>
  <si>
    <t>дата
нарождения</t>
  </si>
  <si>
    <t>відділ</t>
  </si>
  <si>
    <t>к-ть дітей</t>
  </si>
  <si>
    <t>Віктор</t>
  </si>
  <si>
    <t>Юрій</t>
  </si>
  <si>
    <t>Ніна</t>
  </si>
  <si>
    <t>Клавдія</t>
  </si>
  <si>
    <t>Евгеній</t>
  </si>
  <si>
    <t>Миколаївна</t>
  </si>
  <si>
    <t>Раїса</t>
  </si>
  <si>
    <t>Івановна</t>
  </si>
  <si>
    <t>Андріїв</t>
  </si>
  <si>
    <t>Сергіїв</t>
  </si>
  <si>
    <t>Іванович</t>
  </si>
  <si>
    <t>Григорівна</t>
  </si>
  <si>
    <t>Саргійович</t>
  </si>
  <si>
    <t>Васильвівна</t>
  </si>
  <si>
    <t>Миколай</t>
  </si>
  <si>
    <t>Ільіч</t>
  </si>
  <si>
    <t>Миколайович</t>
  </si>
  <si>
    <t>Леонідович</t>
  </si>
  <si>
    <t>Олксіївна</t>
  </si>
  <si>
    <t>Грегорович</t>
  </si>
  <si>
    <t>Владимірович</t>
  </si>
  <si>
    <t>Вікторович</t>
  </si>
  <si>
    <t>Станіславович</t>
  </si>
  <si>
    <t>Тимофійович</t>
  </si>
  <si>
    <t>Юрьйович</t>
  </si>
  <si>
    <t>Васильйович</t>
  </si>
  <si>
    <t>Валерьйович</t>
  </si>
  <si>
    <t>Михаїл</t>
  </si>
  <si>
    <t>Сергій</t>
  </si>
  <si>
    <t>Антонова А. М</t>
  </si>
  <si>
    <t>Протопопов В. В</t>
  </si>
  <si>
    <t>Смирнова Р. І</t>
  </si>
  <si>
    <t>Андріїв В. Б</t>
  </si>
  <si>
    <t>Сергіїв Ю. І</t>
  </si>
  <si>
    <t>Кротова А. Г</t>
  </si>
  <si>
    <t>Колобова Н. І</t>
  </si>
  <si>
    <t>Крупинов А. С</t>
  </si>
  <si>
    <t>Шичко Л. В</t>
  </si>
  <si>
    <t>Гусев М. А</t>
  </si>
  <si>
    <t>Грушин А. В</t>
  </si>
  <si>
    <t>Медникова В. А</t>
  </si>
  <si>
    <t>Петелин М. П</t>
  </si>
  <si>
    <t>Сидоров С. М</t>
  </si>
  <si>
    <t>Бахарев С. П</t>
  </si>
  <si>
    <t>Михайлов В. Л</t>
  </si>
  <si>
    <t>Бородкин С. І</t>
  </si>
  <si>
    <t>Кошкин В. П</t>
  </si>
  <si>
    <t>Воронов В. А</t>
  </si>
  <si>
    <t>Степанова Т. О</t>
  </si>
  <si>
    <t>Кудрявцев А. П</t>
  </si>
  <si>
    <t>Кубарев С. Л</t>
  </si>
  <si>
    <t>Симонов В. М</t>
  </si>
  <si>
    <t>Толубеев С. Г</t>
  </si>
  <si>
    <t>Давиденко К. І</t>
  </si>
  <si>
    <t>Сенин М. В</t>
  </si>
  <si>
    <t>Ромов С. В</t>
  </si>
  <si>
    <t>Потапов П. В</t>
  </si>
  <si>
    <t>Муравьев С. М</t>
  </si>
  <si>
    <t>Верховский Е. С</t>
  </si>
  <si>
    <t>Клокова А. М</t>
  </si>
  <si>
    <t>Щеглов А. М</t>
  </si>
  <si>
    <t>Трофимов В. С</t>
  </si>
  <si>
    <t>Галкина М. А</t>
  </si>
  <si>
    <t>Шатов М. С</t>
  </si>
  <si>
    <t>Михайленко А. В</t>
  </si>
  <si>
    <t>Александров С. И</t>
  </si>
  <si>
    <t>Пряхин М. М</t>
  </si>
  <si>
    <t>Пирожкова М. А</t>
  </si>
  <si>
    <t>Парфенов Д. В</t>
  </si>
  <si>
    <t>Ступина Р. І</t>
  </si>
  <si>
    <t>Барсуков В. В</t>
  </si>
  <si>
    <t>Ермаков О. Т</t>
  </si>
  <si>
    <t>Котов В. П</t>
  </si>
  <si>
    <t>Григорьев М. Я</t>
  </si>
  <si>
    <t>Фролов С. А</t>
  </si>
  <si>
    <t>Путов Э. І</t>
  </si>
  <si>
    <t>Птицын С. В</t>
  </si>
  <si>
    <t>Ермилов Д. М</t>
  </si>
  <si>
    <t>Вершинин В. М</t>
  </si>
  <si>
    <t>Антонов Ю. А</t>
  </si>
  <si>
    <t>Кирсанов В. Ю</t>
  </si>
  <si>
    <t>Дмитриев А. М</t>
  </si>
  <si>
    <t>Солодов С. А</t>
  </si>
  <si>
    <t>Сейфетдинова Н. М</t>
  </si>
  <si>
    <t>Абрикосова Е. М</t>
  </si>
  <si>
    <t>Медведев Ю. В</t>
  </si>
  <si>
    <t>Голубкова А. П</t>
  </si>
  <si>
    <t>Кутяев О. В</t>
  </si>
  <si>
    <t>Мосин М. П</t>
  </si>
  <si>
    <t>Гришин О. В</t>
  </si>
  <si>
    <t>Морозов С. Л</t>
  </si>
  <si>
    <t>Маркова К. Т</t>
  </si>
  <si>
    <t>Абрамов В. І</t>
  </si>
  <si>
    <t>Соколов П. М</t>
  </si>
  <si>
    <t>Михеев Д. В</t>
  </si>
  <si>
    <t>Ермилов А. М</t>
  </si>
  <si>
    <t>Платова Л. П</t>
  </si>
  <si>
    <t>Завдання</t>
  </si>
  <si>
    <t>вихідні дні - сітло синім</t>
  </si>
  <si>
    <t>відпустка - сірим</t>
  </si>
  <si>
    <t>відрідження - зеленим</t>
  </si>
  <si>
    <t>лікарняний - жовтим</t>
  </si>
  <si>
    <t xml:space="preserve"> дні прогулів - червоним</t>
  </si>
  <si>
    <t>Оформити клітинки різними кольорами заливок відповідно до вимог:</t>
  </si>
  <si>
    <t>в</t>
  </si>
  <si>
    <t>Л</t>
  </si>
  <si>
    <t>Відр</t>
  </si>
  <si>
    <t>Відпус</t>
  </si>
  <si>
    <t>кільксть людей що були у відпустці</t>
  </si>
  <si>
    <t>кільксть людей що були у відрядженні</t>
  </si>
  <si>
    <t>кільксть людей що брали лікарняний</t>
  </si>
  <si>
    <t>пр</t>
  </si>
  <si>
    <t>кільксть людей що прогуляли дні</t>
  </si>
  <si>
    <t>загальна кількість годин відпрацьованна відділом</t>
  </si>
  <si>
    <t>По рахувати за місяц по віділам (розбивка по відділам на вкладці Дані):</t>
  </si>
  <si>
    <t>Відрядження</t>
  </si>
  <si>
    <t>Відпустка</t>
  </si>
  <si>
    <t>Лікарянний</t>
  </si>
  <si>
    <t>Прогулів</t>
  </si>
  <si>
    <t>Відпрацьовано годин</t>
  </si>
  <si>
    <t>Прізвище І. П.</t>
  </si>
  <si>
    <t>М</t>
  </si>
  <si>
    <t>Ж</t>
  </si>
  <si>
    <t>Відділи</t>
  </si>
  <si>
    <t>Кількість людей</t>
  </si>
  <si>
    <t>Сумма доплати</t>
  </si>
  <si>
    <t>Підсумкова сума</t>
  </si>
  <si>
    <t>Доплати:</t>
  </si>
  <si>
    <t>111 евро</t>
  </si>
  <si>
    <t xml:space="preserve">від 2-х до 3-х </t>
  </si>
  <si>
    <t xml:space="preserve"> 278 евро</t>
  </si>
  <si>
    <t>більше 3-х</t>
  </si>
  <si>
    <t>454 евро</t>
  </si>
  <si>
    <t xml:space="preserve">нема чи 1 дитина   </t>
  </si>
  <si>
    <t>2. розрахувати оклади с розподілом на Ж та М</t>
  </si>
  <si>
    <t>Сума оклада</t>
  </si>
  <si>
    <t>Середня сума оклада</t>
  </si>
  <si>
    <t>Стаж праці</t>
  </si>
  <si>
    <t>Якщо стаж роботи перевищує 10 років, то премія складає 30% від окладу, в іншому випадку 250 евро</t>
  </si>
  <si>
    <t>Премія, евро</t>
  </si>
  <si>
    <t>№ п/п</t>
  </si>
  <si>
    <t>Капуста</t>
  </si>
  <si>
    <t>Ананас</t>
  </si>
  <si>
    <t>Грейпфрут</t>
  </si>
  <si>
    <t>Нектарин</t>
  </si>
  <si>
    <t>Манго</t>
  </si>
  <si>
    <t>Абрикос</t>
  </si>
  <si>
    <t>Груши</t>
  </si>
  <si>
    <t>Баклажан</t>
  </si>
  <si>
    <t>Персик</t>
  </si>
  <si>
    <t>Банан</t>
  </si>
  <si>
    <t>Огурец</t>
  </si>
  <si>
    <t>Яблоки</t>
  </si>
  <si>
    <t>Картофель</t>
  </si>
  <si>
    <t>Найменування</t>
  </si>
  <si>
    <t>Обсяг партії, кг</t>
  </si>
  <si>
    <t>Дата продажe</t>
  </si>
  <si>
    <t>ківі</t>
  </si>
  <si>
    <t>Мандаріни</t>
  </si>
  <si>
    <t>Морков</t>
  </si>
  <si>
    <t>Загальний обсяг партії, кг</t>
  </si>
  <si>
    <t>Сумарний обсяг продажів ківі</t>
  </si>
  <si>
    <t>Обсяг проданого з 10 по 22 жовтня 2010 р.</t>
  </si>
  <si>
    <t>Максимальний обсяг партії, кг</t>
  </si>
  <si>
    <t>Мінімальний обсяг партії, кг</t>
  </si>
  <si>
    <t>Середній обсяг партії, кг</t>
  </si>
  <si>
    <t>Кількість продаж</t>
  </si>
  <si>
    <t>Кількість угод з продажу ківі</t>
  </si>
  <si>
    <t>Кількість угод із обсягом партії до 50 кг</t>
  </si>
  <si>
    <t>Кількість продажів ківі після 10 жовтня 2010 р.</t>
  </si>
  <si>
    <t>Кількість продажів до 12 жовтня 2010 р. з обсягом партії не більше 50 кг</t>
  </si>
  <si>
    <t>Середній обсяг продажів цибулі</t>
  </si>
  <si>
    <t>до 4000 евро</t>
  </si>
  <si>
    <t>більше 7500</t>
  </si>
  <si>
    <t>4000-7500 евро</t>
  </si>
  <si>
    <t>1936-1956</t>
  </si>
  <si>
    <t>5. розрахувати кількість людей у віддулах з разарахунками в межах років народження</t>
  </si>
  <si>
    <t>старші 1965</t>
  </si>
  <si>
    <t>Дата</t>
  </si>
  <si>
    <t>АО Престиж</t>
  </si>
  <si>
    <t>АО ИНВЕСТ</t>
  </si>
  <si>
    <t>Зарплата</t>
  </si>
  <si>
    <t>Иванов И.И.</t>
  </si>
  <si>
    <t>Васильева М.Ф.</t>
  </si>
  <si>
    <t>Казаков С.С.</t>
  </si>
  <si>
    <t>ТОО Надежда</t>
  </si>
  <si>
    <t>ЗАО БИН</t>
  </si>
  <si>
    <t>Завдання:</t>
  </si>
  <si>
    <t>Побудувати зведену таблицю, що дозволяє подивитись сумарні</t>
  </si>
  <si>
    <t>дані щодо кожного місяця для кожного одержувача в</t>
  </si>
  <si>
    <t>Витрати</t>
  </si>
  <si>
    <t>Сума</t>
  </si>
  <si>
    <t>Одержувач</t>
  </si>
  <si>
    <t>Матеріали</t>
  </si>
  <si>
    <t>Накладні витрати</t>
  </si>
  <si>
    <t>Прайс-лист</t>
  </si>
  <si>
    <t>Загальна сума за партію в грн</t>
  </si>
  <si>
    <t>Ціна грн за кг</t>
  </si>
  <si>
    <t>Сума отримана за продажу ківі</t>
  </si>
  <si>
    <t>Обсяг проданого після 10 жовтня 2010</t>
  </si>
  <si>
    <t>Обсяг проданого ківі після 10 жовтня 2010</t>
  </si>
  <si>
    <t>Обсяг проданого до 12 жовтня 2010 З обсягом партії не більше 50 кг</t>
  </si>
  <si>
    <t>Сума отримана з угод із обсягом партії до 50 кг</t>
  </si>
  <si>
    <t>Сума  отримана від проданого ківі після 20.10.2010</t>
  </si>
  <si>
    <t>Сума отримана після 15.10.2010</t>
  </si>
  <si>
    <t>Сума отриманна від продажів с 10.10.2010-15.10.2010</t>
  </si>
  <si>
    <t>Поставщик</t>
  </si>
  <si>
    <t>День поставки</t>
  </si>
  <si>
    <t>Брак, шт</t>
  </si>
  <si>
    <t>Печь СВЧ</t>
  </si>
  <si>
    <t>Goldika</t>
  </si>
  <si>
    <t>Мясорубка</t>
  </si>
  <si>
    <t>Panasonika</t>
  </si>
  <si>
    <t>Tefalka</t>
  </si>
  <si>
    <t>Kenwoodik</t>
  </si>
  <si>
    <t>Пароварка</t>
  </si>
  <si>
    <t>Тостер</t>
  </si>
  <si>
    <t>Boschik</t>
  </si>
  <si>
    <t>OK&amp;KO</t>
  </si>
  <si>
    <t>Braunok</t>
  </si>
  <si>
    <t>Delonghik</t>
  </si>
  <si>
    <t>Moulinexik</t>
  </si>
  <si>
    <t>STD лидер</t>
  </si>
  <si>
    <t>Кофеварка</t>
  </si>
  <si>
    <t>Philipka</t>
  </si>
  <si>
    <t>Кофемолка</t>
  </si>
  <si>
    <t>Кухонный комбайн</t>
  </si>
  <si>
    <t>Samsuni</t>
  </si>
  <si>
    <t>Чайник</t>
  </si>
  <si>
    <t>Sharpik</t>
  </si>
  <si>
    <t>Цена за шт, грн</t>
  </si>
  <si>
    <t>Кількість, шт</t>
  </si>
  <si>
    <t>Вартість доставки, грн</t>
  </si>
  <si>
    <t>Вартість браку, грн</t>
  </si>
  <si>
    <t>Вартість Партії, грн</t>
  </si>
  <si>
    <t>Знижка:</t>
  </si>
  <si>
    <t>Знижка, грн</t>
  </si>
  <si>
    <t>Смак Компані</t>
  </si>
  <si>
    <t>Легкість буття</t>
  </si>
  <si>
    <t>ПобутТехСила</t>
  </si>
  <si>
    <t>ТД та Компані</t>
  </si>
  <si>
    <t>Виробник</t>
  </si>
  <si>
    <t>Поставщик "Легкість буття" дає знижку в 5%, якщо ціна більше 4000 грн на Мясорубку виробника  Kenwoodik та Tefalka</t>
  </si>
  <si>
    <t>Поставщик "STD лидер" дає знижку в 6% на виробника Kenwoodik чи на товар "Кухонний комбайн"</t>
  </si>
  <si>
    <t>Поставщик "Смак Компані" дає знижку в 10% на виробника Kenwoodik на товар "Мясорубка"</t>
  </si>
  <si>
    <t>Виробник  "Panasonika" даэ знижку 4% при ціні більше 4710</t>
  </si>
  <si>
    <t>терези</t>
  </si>
  <si>
    <t>Соковижималка</t>
  </si>
  <si>
    <t>Міксер</t>
  </si>
  <si>
    <t>розрахувати вартість браку та загальну вартість партії ( з вирохуванням бракованих товарів, з урахуванням доставки та знижки)</t>
  </si>
  <si>
    <t>залежності від статті витрат</t>
  </si>
  <si>
    <t>На підставі отриманих даних побудувати зведену діаграму</t>
  </si>
  <si>
    <t xml:space="preserve">Завдання </t>
  </si>
  <si>
    <t>порахувати значення в колонці G</t>
  </si>
  <si>
    <t>1. розрахувати по відділам суму доплати, виходячи с к-сті дітей та підсумкову суму що отримав відділ з разрахунку що 13% від окладу були сплачені податки</t>
  </si>
  <si>
    <t>Сумма доплат</t>
  </si>
  <si>
    <t>3. Нарахувати премію працівникам, та звести по віділах виходячи з умови:</t>
  </si>
  <si>
    <t>4. розрухвати кількість людей у відділах з разахунками по певних межах окладів</t>
  </si>
  <si>
    <t>Цибцля</t>
  </si>
  <si>
    <t>Цибуля</t>
  </si>
  <si>
    <t>1957-1965</t>
  </si>
  <si>
    <t>Відділ</t>
  </si>
  <si>
    <t>Доплата</t>
  </si>
  <si>
    <t>Сума на руки</t>
  </si>
  <si>
    <t>Премія</t>
  </si>
  <si>
    <t>Рік народження</t>
  </si>
  <si>
    <t>Вартість</t>
  </si>
  <si>
    <t> (Ціна - Знижка) * (Загальна кількість - Брак) + Доставка</t>
  </si>
  <si>
    <t>Позначки рядків</t>
  </si>
  <si>
    <t>Загальний підсумок</t>
  </si>
  <si>
    <t>1997</t>
  </si>
  <si>
    <t>Чер</t>
  </si>
  <si>
    <t>2002</t>
  </si>
  <si>
    <t>Січ</t>
  </si>
  <si>
    <t>Лют</t>
  </si>
  <si>
    <t>Бер</t>
  </si>
  <si>
    <t>Кві</t>
  </si>
  <si>
    <t>Тра</t>
  </si>
  <si>
    <t>Лип</t>
  </si>
  <si>
    <t>Сер</t>
  </si>
  <si>
    <t>Вер</t>
  </si>
  <si>
    <t>Жов</t>
  </si>
  <si>
    <t>Лис</t>
  </si>
  <si>
    <t>Гру</t>
  </si>
  <si>
    <t>Позначки стовпців</t>
  </si>
  <si>
    <t>Загальна сума</t>
  </si>
  <si>
    <t>Разом Загальна сума</t>
  </si>
  <si>
    <t>Разом Сума з Поле1</t>
  </si>
  <si>
    <t>Сума з Поле1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</si>
</sst>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;@"/>
    <numFmt numFmtId="165" formatCode="#,##0.00\ [$€-1]"/>
    <numFmt numFmtId="166" formatCode="_-[$€-2]\ * #,##0.00_-;\-[$€-2]\ * #,##0.00_-;_-[$€-2]\ * &quot;-&quot;??_-;_-@_-"/>
    <numFmt numFmtId="167" formatCode="#,##0\ &quot;₴&quot;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9"/>
      <name val="Calibri"/>
      <family val="2"/>
      <charset val="204"/>
      <scheme val="minor"/>
    </font>
    <font>
      <sz val="9"/>
      <color rgb="FF20212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0A0A0A"/>
      <name val="Arial Unicode MS"/>
    </font>
    <font>
      <sz val="9"/>
      <color rgb="FF0A0A0A"/>
      <name val="Calibri"/>
      <family val="2"/>
      <charset val="204"/>
      <scheme val="minor"/>
    </font>
    <font>
      <sz val="9"/>
      <color rgb="FF0A0A0A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21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/>
      <top style="thin">
        <color theme="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</cellStyleXfs>
  <cellXfs count="68">
    <xf numFmtId="0" fontId="0" fillId="0" borderId="0" xfId="0"/>
    <xf numFmtId="0" fontId="4" fillId="0" borderId="0" xfId="3" applyFont="1"/>
    <xf numFmtId="0" fontId="5" fillId="0" borderId="0" xfId="0" applyFont="1" applyAlignment="1">
      <alignment horizontal="left" vertical="center"/>
    </xf>
    <xf numFmtId="0" fontId="6" fillId="0" borderId="0" xfId="3" applyFont="1"/>
    <xf numFmtId="0" fontId="7" fillId="0" borderId="0" xfId="4" applyFont="1"/>
    <xf numFmtId="0" fontId="8" fillId="0" borderId="0" xfId="4" applyFont="1"/>
    <xf numFmtId="0" fontId="9" fillId="0" borderId="0" xfId="4" applyFont="1"/>
    <xf numFmtId="0" fontId="10" fillId="2" borderId="2" xfId="4" applyFont="1" applyFill="1" applyBorder="1" applyAlignment="1">
      <alignment horizontal="center" vertical="center"/>
    </xf>
    <xf numFmtId="0" fontId="10" fillId="2" borderId="3" xfId="4" applyFont="1" applyFill="1" applyBorder="1" applyAlignment="1">
      <alignment horizontal="center" vertical="center"/>
    </xf>
    <xf numFmtId="0" fontId="10" fillId="2" borderId="3" xfId="4" applyFont="1" applyFill="1" applyBorder="1" applyAlignment="1">
      <alignment horizontal="center" vertical="center" wrapText="1"/>
    </xf>
    <xf numFmtId="0" fontId="10" fillId="2" borderId="4" xfId="4" applyFont="1" applyFill="1" applyBorder="1" applyAlignment="1">
      <alignment horizontal="center" vertical="center" wrapText="1"/>
    </xf>
    <xf numFmtId="0" fontId="7" fillId="0" borderId="1" xfId="4" applyFont="1" applyBorder="1"/>
    <xf numFmtId="0" fontId="7" fillId="0" borderId="2" xfId="4" applyFont="1" applyBorder="1"/>
    <xf numFmtId="0" fontId="7" fillId="0" borderId="3" xfId="4" applyFont="1" applyBorder="1"/>
    <xf numFmtId="14" fontId="7" fillId="0" borderId="4" xfId="4" applyNumberFormat="1" applyFont="1" applyBorder="1"/>
    <xf numFmtId="0" fontId="7" fillId="3" borderId="0" xfId="4" applyFont="1" applyFill="1"/>
    <xf numFmtId="0" fontId="7" fillId="0" borderId="5" xfId="4" applyFont="1" applyBorder="1"/>
    <xf numFmtId="0" fontId="7" fillId="0" borderId="6" xfId="4" applyFont="1" applyBorder="1"/>
    <xf numFmtId="14" fontId="7" fillId="0" borderId="7" xfId="4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1" applyFont="1"/>
    <xf numFmtId="0" fontId="14" fillId="4" borderId="1" xfId="1" applyFont="1" applyFill="1" applyBorder="1" applyAlignment="1">
      <alignment horizontal="center" vertical="center" wrapText="1"/>
    </xf>
    <xf numFmtId="0" fontId="13" fillId="0" borderId="1" xfId="1" applyFont="1" applyBorder="1"/>
    <xf numFmtId="14" fontId="13" fillId="0" borderId="1" xfId="1" applyNumberFormat="1" applyFont="1" applyBorder="1"/>
    <xf numFmtId="0" fontId="11" fillId="0" borderId="1" xfId="0" applyFont="1" applyBorder="1"/>
    <xf numFmtId="1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4" fontId="4" fillId="0" borderId="1" xfId="3" applyNumberFormat="1" applyFont="1" applyBorder="1"/>
    <xf numFmtId="0" fontId="4" fillId="0" borderId="1" xfId="3" applyFont="1" applyBorder="1"/>
    <xf numFmtId="0" fontId="4" fillId="0" borderId="0" xfId="3" applyFont="1" applyAlignment="1">
      <alignment wrapText="1"/>
    </xf>
    <xf numFmtId="0" fontId="13" fillId="0" borderId="0" xfId="0" applyFont="1" applyAlignment="1">
      <alignment horizontal="left" vertical="center" readingOrder="2"/>
    </xf>
    <xf numFmtId="0" fontId="13" fillId="0" borderId="0" xfId="3" applyFont="1"/>
    <xf numFmtId="0" fontId="8" fillId="0" borderId="0" xfId="0" applyFont="1"/>
    <xf numFmtId="0" fontId="15" fillId="0" borderId="0" xfId="0" applyFont="1"/>
    <xf numFmtId="0" fontId="13" fillId="0" borderId="0" xfId="2" applyFont="1"/>
    <xf numFmtId="0" fontId="13" fillId="0" borderId="0" xfId="0" applyFont="1" applyAlignment="1">
      <alignment horizontal="left" vertical="center"/>
    </xf>
    <xf numFmtId="0" fontId="12" fillId="0" borderId="1" xfId="0" applyFont="1" applyBorder="1"/>
    <xf numFmtId="14" fontId="12" fillId="0" borderId="1" xfId="0" applyNumberFormat="1" applyFont="1" applyBorder="1"/>
    <xf numFmtId="0" fontId="13" fillId="0" borderId="1" xfId="1" applyFont="1" applyBorder="1" applyAlignment="1">
      <alignment horizontal="center"/>
    </xf>
    <xf numFmtId="164" fontId="13" fillId="0" borderId="1" xfId="1" applyNumberFormat="1" applyFont="1" applyBorder="1"/>
    <xf numFmtId="165" fontId="13" fillId="0" borderId="1" xfId="1" applyNumberFormat="1" applyFont="1" applyBorder="1"/>
    <xf numFmtId="0" fontId="13" fillId="0" borderId="1" xfId="4" applyFont="1" applyBorder="1"/>
    <xf numFmtId="0" fontId="14" fillId="5" borderId="1" xfId="1" applyFont="1" applyFill="1" applyBorder="1" applyAlignment="1">
      <alignment horizontal="center"/>
    </xf>
    <xf numFmtId="0" fontId="14" fillId="5" borderId="1" xfId="1" applyFont="1" applyFill="1" applyBorder="1" applyAlignment="1">
      <alignment horizontal="center" wrapText="1"/>
    </xf>
    <xf numFmtId="0" fontId="7" fillId="0" borderId="8" xfId="4" applyFont="1" applyBorder="1"/>
    <xf numFmtId="166" fontId="11" fillId="0" borderId="1" xfId="0" applyNumberFormat="1" applyFont="1" applyBorder="1"/>
    <xf numFmtId="0" fontId="16" fillId="0" borderId="1" xfId="0" applyFont="1" applyBorder="1" applyAlignment="1">
      <alignment vertical="center"/>
    </xf>
    <xf numFmtId="0" fontId="12" fillId="0" borderId="9" xfId="0" applyFont="1" applyBorder="1"/>
    <xf numFmtId="0" fontId="7" fillId="0" borderId="9" xfId="0" applyFont="1" applyBorder="1"/>
    <xf numFmtId="0" fontId="7" fillId="0" borderId="1" xfId="0" applyFont="1" applyBorder="1"/>
    <xf numFmtId="0" fontId="17" fillId="0" borderId="1" xfId="0" applyFont="1" applyBorder="1"/>
    <xf numFmtId="0" fontId="17" fillId="0" borderId="0" xfId="0" applyFont="1"/>
    <xf numFmtId="165" fontId="11" fillId="0" borderId="1" xfId="0" applyNumberFormat="1" applyFont="1" applyBorder="1"/>
    <xf numFmtId="0" fontId="18" fillId="0" borderId="1" xfId="0" applyFont="1" applyBorder="1"/>
    <xf numFmtId="2" fontId="7" fillId="3" borderId="0" xfId="4" applyNumberFormat="1" applyFont="1" applyFill="1"/>
    <xf numFmtId="0" fontId="13" fillId="0" borderId="0" xfId="1" applyFont="1" applyBorder="1"/>
    <xf numFmtId="0" fontId="11" fillId="0" borderId="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167" fontId="14" fillId="4" borderId="1" xfId="1" applyNumberFormat="1" applyFont="1" applyFill="1" applyBorder="1" applyAlignment="1">
      <alignment horizontal="center" vertical="center" wrapText="1"/>
    </xf>
    <xf numFmtId="167" fontId="11" fillId="0" borderId="1" xfId="0" applyNumberFormat="1" applyFont="1" applyBorder="1"/>
    <xf numFmtId="167" fontId="11" fillId="0" borderId="9" xfId="0" applyNumberFormat="1" applyFont="1" applyBorder="1"/>
    <xf numFmtId="14" fontId="0" fillId="0" borderId="0" xfId="0" applyNumberFormat="1"/>
  </cellXfs>
  <cellStyles count="5">
    <cellStyle name="Звичайний" xfId="0" builtinId="0"/>
    <cellStyle name="Обычный 2 2" xfId="3" xr:uid="{6C6D0D27-FDF1-4E68-B0BA-1DE274871786}"/>
    <cellStyle name="Обычный 3" xfId="2" xr:uid="{65464614-6ABE-47AF-83F3-D7414C8B21CA}"/>
    <cellStyle name="Обычный 4" xfId="4" xr:uid="{902E8FB0-4688-4B79-9C5F-B19E8F6BB255}"/>
    <cellStyle name="Обычный_Функции ЕСЛИ и ВПР" xfId="1" xr:uid="{BA4198EB-235F-4E57-8753-25BAFDDC850E}"/>
  </cellStyles>
  <dxfs count="6"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[Analyst_Yakimova_Olha.xlsx]Pivot table!Зведена таблиця1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table'!$B$3:$B$5</c:f>
              <c:strCache>
                <c:ptCount val="1"/>
                <c:pt idx="0">
                  <c:v>АО ИНВЕСТ - Загальна сума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table'!$B$6:$B$21</c:f>
              <c:numCache>
                <c:formatCode>General</c:formatCode>
                <c:ptCount val="13"/>
                <c:pt idx="1">
                  <c:v>4780</c:v>
                </c:pt>
                <c:pt idx="2">
                  <c:v>3780</c:v>
                </c:pt>
                <c:pt idx="3">
                  <c:v>4725</c:v>
                </c:pt>
                <c:pt idx="4">
                  <c:v>3780</c:v>
                </c:pt>
                <c:pt idx="5">
                  <c:v>3780</c:v>
                </c:pt>
                <c:pt idx="6">
                  <c:v>4725</c:v>
                </c:pt>
                <c:pt idx="7">
                  <c:v>3780</c:v>
                </c:pt>
                <c:pt idx="8">
                  <c:v>3780</c:v>
                </c:pt>
                <c:pt idx="9">
                  <c:v>4725</c:v>
                </c:pt>
                <c:pt idx="10">
                  <c:v>3780</c:v>
                </c:pt>
                <c:pt idx="11">
                  <c:v>3780</c:v>
                </c:pt>
                <c:pt idx="12">
                  <c:v>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7-4DCB-851D-33FB7EF66680}"/>
            </c:ext>
          </c:extLst>
        </c:ser>
        <c:ser>
          <c:idx val="1"/>
          <c:order val="1"/>
          <c:tx>
            <c:strRef>
              <c:f>'Pivot table'!$C$3:$C$5</c:f>
              <c:strCache>
                <c:ptCount val="1"/>
                <c:pt idx="0">
                  <c:v>АО ИНВЕСТ - Сума з Поле1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table'!$C$6:$C$21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7-4DCB-851D-33FB7EF66680}"/>
            </c:ext>
          </c:extLst>
        </c:ser>
        <c:ser>
          <c:idx val="2"/>
          <c:order val="2"/>
          <c:tx>
            <c:strRef>
              <c:f>'Pivot table'!$D$3:$D$5</c:f>
              <c:strCache>
                <c:ptCount val="1"/>
                <c:pt idx="0">
                  <c:v>АО Престиж - Загальна сума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table'!$D$6:$D$21</c:f>
              <c:numCache>
                <c:formatCode>General</c:formatCode>
                <c:ptCount val="13"/>
                <c:pt idx="0">
                  <c:v>800</c:v>
                </c:pt>
                <c:pt idx="1">
                  <c:v>3780</c:v>
                </c:pt>
                <c:pt idx="2">
                  <c:v>3780</c:v>
                </c:pt>
                <c:pt idx="3">
                  <c:v>3780</c:v>
                </c:pt>
                <c:pt idx="4">
                  <c:v>4725</c:v>
                </c:pt>
                <c:pt idx="5">
                  <c:v>3780</c:v>
                </c:pt>
                <c:pt idx="6">
                  <c:v>5380</c:v>
                </c:pt>
                <c:pt idx="7">
                  <c:v>4725</c:v>
                </c:pt>
                <c:pt idx="8">
                  <c:v>3780</c:v>
                </c:pt>
                <c:pt idx="9">
                  <c:v>4725</c:v>
                </c:pt>
                <c:pt idx="10">
                  <c:v>3780</c:v>
                </c:pt>
                <c:pt idx="11">
                  <c:v>3780</c:v>
                </c:pt>
                <c:pt idx="12">
                  <c:v>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7-4DCB-851D-33FB7EF66680}"/>
            </c:ext>
          </c:extLst>
        </c:ser>
        <c:ser>
          <c:idx val="3"/>
          <c:order val="3"/>
          <c:tx>
            <c:strRef>
              <c:f>'Pivot table'!$E$3:$E$5</c:f>
              <c:strCache>
                <c:ptCount val="1"/>
                <c:pt idx="0">
                  <c:v>АО Престиж - Сума з Поле1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table'!$E$6:$E$21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77-4DCB-851D-33FB7EF66680}"/>
            </c:ext>
          </c:extLst>
        </c:ser>
        <c:ser>
          <c:idx val="4"/>
          <c:order val="4"/>
          <c:tx>
            <c:strRef>
              <c:f>'Pivot table'!$F$3:$F$5</c:f>
              <c:strCache>
                <c:ptCount val="1"/>
                <c:pt idx="0">
                  <c:v>Васильева М.Ф. - Загальна сума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table'!$F$6:$F$21</c:f>
              <c:numCache>
                <c:formatCode>General</c:formatCode>
                <c:ptCount val="13"/>
                <c:pt idx="1">
                  <c:v>4780</c:v>
                </c:pt>
                <c:pt idx="2">
                  <c:v>3780</c:v>
                </c:pt>
                <c:pt idx="3">
                  <c:v>3780</c:v>
                </c:pt>
                <c:pt idx="4">
                  <c:v>3780</c:v>
                </c:pt>
                <c:pt idx="5">
                  <c:v>4725</c:v>
                </c:pt>
                <c:pt idx="6">
                  <c:v>3780</c:v>
                </c:pt>
                <c:pt idx="7">
                  <c:v>3780</c:v>
                </c:pt>
                <c:pt idx="8">
                  <c:v>4725</c:v>
                </c:pt>
                <c:pt idx="9">
                  <c:v>3780</c:v>
                </c:pt>
                <c:pt idx="10">
                  <c:v>4725</c:v>
                </c:pt>
                <c:pt idx="11">
                  <c:v>3780</c:v>
                </c:pt>
                <c:pt idx="12">
                  <c:v>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77-4DCB-851D-33FB7EF66680}"/>
            </c:ext>
          </c:extLst>
        </c:ser>
        <c:ser>
          <c:idx val="5"/>
          <c:order val="5"/>
          <c:tx>
            <c:strRef>
              <c:f>'Pivot table'!$G$3:$G$5</c:f>
              <c:strCache>
                <c:ptCount val="1"/>
                <c:pt idx="0">
                  <c:v>Васильева М.Ф. - Сума з Поле1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table'!$G$6:$G$21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77-4DCB-851D-33FB7EF66680}"/>
            </c:ext>
          </c:extLst>
        </c:ser>
        <c:ser>
          <c:idx val="6"/>
          <c:order val="6"/>
          <c:tx>
            <c:strRef>
              <c:f>'Pivot table'!$H$3:$H$5</c:f>
              <c:strCache>
                <c:ptCount val="1"/>
                <c:pt idx="0">
                  <c:v>ЗАО БИН - Загальна сума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table'!$H$6:$H$21</c:f>
              <c:numCache>
                <c:formatCode>General</c:formatCode>
                <c:ptCount val="13"/>
                <c:pt idx="1">
                  <c:v>4380</c:v>
                </c:pt>
                <c:pt idx="2">
                  <c:v>3780</c:v>
                </c:pt>
                <c:pt idx="3">
                  <c:v>3780</c:v>
                </c:pt>
                <c:pt idx="4">
                  <c:v>3780</c:v>
                </c:pt>
                <c:pt idx="5">
                  <c:v>4725</c:v>
                </c:pt>
                <c:pt idx="6">
                  <c:v>3780</c:v>
                </c:pt>
                <c:pt idx="7">
                  <c:v>4725</c:v>
                </c:pt>
                <c:pt idx="8">
                  <c:v>3780</c:v>
                </c:pt>
                <c:pt idx="9">
                  <c:v>3780</c:v>
                </c:pt>
                <c:pt idx="10">
                  <c:v>4725</c:v>
                </c:pt>
                <c:pt idx="11">
                  <c:v>3780</c:v>
                </c:pt>
                <c:pt idx="12">
                  <c:v>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77-4DCB-851D-33FB7EF66680}"/>
            </c:ext>
          </c:extLst>
        </c:ser>
        <c:ser>
          <c:idx val="7"/>
          <c:order val="7"/>
          <c:tx>
            <c:strRef>
              <c:f>'Pivot table'!$I$3:$I$5</c:f>
              <c:strCache>
                <c:ptCount val="1"/>
                <c:pt idx="0">
                  <c:v>ЗАО БИН - Сума з Поле1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table'!$I$6:$I$21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B-4EDE-9EA4-F9B098416566}"/>
            </c:ext>
          </c:extLst>
        </c:ser>
        <c:ser>
          <c:idx val="8"/>
          <c:order val="8"/>
          <c:tx>
            <c:strRef>
              <c:f>'Pivot table'!$J$3:$J$5</c:f>
              <c:strCache>
                <c:ptCount val="1"/>
                <c:pt idx="0">
                  <c:v>Иванов И.И. - Загальна сума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table'!$J$6:$J$21</c:f>
              <c:numCache>
                <c:formatCode>General</c:formatCode>
                <c:ptCount val="13"/>
                <c:pt idx="1">
                  <c:v>3780</c:v>
                </c:pt>
                <c:pt idx="2">
                  <c:v>3780</c:v>
                </c:pt>
                <c:pt idx="3">
                  <c:v>4725</c:v>
                </c:pt>
                <c:pt idx="4">
                  <c:v>3780</c:v>
                </c:pt>
                <c:pt idx="5">
                  <c:v>3780</c:v>
                </c:pt>
                <c:pt idx="6">
                  <c:v>4725</c:v>
                </c:pt>
                <c:pt idx="7">
                  <c:v>3780</c:v>
                </c:pt>
                <c:pt idx="8">
                  <c:v>4725</c:v>
                </c:pt>
                <c:pt idx="9">
                  <c:v>2835</c:v>
                </c:pt>
                <c:pt idx="10">
                  <c:v>3780</c:v>
                </c:pt>
                <c:pt idx="11">
                  <c:v>4725</c:v>
                </c:pt>
                <c:pt idx="12">
                  <c:v>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B-4EDE-9EA4-F9B098416566}"/>
            </c:ext>
          </c:extLst>
        </c:ser>
        <c:ser>
          <c:idx val="9"/>
          <c:order val="9"/>
          <c:tx>
            <c:strRef>
              <c:f>'Pivot table'!$K$3:$K$5</c:f>
              <c:strCache>
                <c:ptCount val="1"/>
                <c:pt idx="0">
                  <c:v>Иванов И.И. - Сума з Поле1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table'!$K$6:$K$21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8B-4EDE-9EA4-F9B098416566}"/>
            </c:ext>
          </c:extLst>
        </c:ser>
        <c:ser>
          <c:idx val="10"/>
          <c:order val="10"/>
          <c:tx>
            <c:strRef>
              <c:f>'Pivot table'!$L$3:$L$5</c:f>
              <c:strCache>
                <c:ptCount val="1"/>
                <c:pt idx="0">
                  <c:v>Казаков С.С. - Загальна сума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table'!$L$6:$L$21</c:f>
              <c:numCache>
                <c:formatCode>General</c:formatCode>
                <c:ptCount val="13"/>
                <c:pt idx="1">
                  <c:v>3160</c:v>
                </c:pt>
                <c:pt idx="2">
                  <c:v>2835</c:v>
                </c:pt>
                <c:pt idx="3">
                  <c:v>4725</c:v>
                </c:pt>
                <c:pt idx="4">
                  <c:v>3780</c:v>
                </c:pt>
                <c:pt idx="5">
                  <c:v>4725</c:v>
                </c:pt>
                <c:pt idx="6">
                  <c:v>3780</c:v>
                </c:pt>
                <c:pt idx="7">
                  <c:v>3780</c:v>
                </c:pt>
                <c:pt idx="8">
                  <c:v>4725</c:v>
                </c:pt>
                <c:pt idx="9">
                  <c:v>7435</c:v>
                </c:pt>
                <c:pt idx="10">
                  <c:v>3780</c:v>
                </c:pt>
                <c:pt idx="11">
                  <c:v>4725</c:v>
                </c:pt>
                <c:pt idx="12">
                  <c:v>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8B-4EDE-9EA4-F9B098416566}"/>
            </c:ext>
          </c:extLst>
        </c:ser>
        <c:ser>
          <c:idx val="11"/>
          <c:order val="11"/>
          <c:tx>
            <c:strRef>
              <c:f>'Pivot table'!$M$3:$M$5</c:f>
              <c:strCache>
                <c:ptCount val="1"/>
                <c:pt idx="0">
                  <c:v>Казаков С.С. - Сума з Поле1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table'!$M$6:$M$21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8B-4EDE-9EA4-F9B098416566}"/>
            </c:ext>
          </c:extLst>
        </c:ser>
        <c:ser>
          <c:idx val="12"/>
          <c:order val="12"/>
          <c:tx>
            <c:strRef>
              <c:f>'Pivot table'!$N$3:$N$5</c:f>
              <c:strCache>
                <c:ptCount val="1"/>
                <c:pt idx="0">
                  <c:v>ТОО Надежда - Загальна сума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table'!$N$6:$N$21</c:f>
              <c:numCache>
                <c:formatCode>General</c:formatCode>
                <c:ptCount val="13"/>
                <c:pt idx="1">
                  <c:v>4346</c:v>
                </c:pt>
                <c:pt idx="2">
                  <c:v>3780</c:v>
                </c:pt>
                <c:pt idx="3">
                  <c:v>3780</c:v>
                </c:pt>
                <c:pt idx="4">
                  <c:v>4725</c:v>
                </c:pt>
                <c:pt idx="5">
                  <c:v>3780</c:v>
                </c:pt>
                <c:pt idx="6">
                  <c:v>3780</c:v>
                </c:pt>
                <c:pt idx="7">
                  <c:v>4725</c:v>
                </c:pt>
                <c:pt idx="8">
                  <c:v>3780</c:v>
                </c:pt>
                <c:pt idx="9">
                  <c:v>3780</c:v>
                </c:pt>
                <c:pt idx="10">
                  <c:v>4725</c:v>
                </c:pt>
                <c:pt idx="11">
                  <c:v>3780</c:v>
                </c:pt>
                <c:pt idx="12">
                  <c:v>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8B-4EDE-9EA4-F9B098416566}"/>
            </c:ext>
          </c:extLst>
        </c:ser>
        <c:ser>
          <c:idx val="13"/>
          <c:order val="13"/>
          <c:tx>
            <c:strRef>
              <c:f>'Pivot table'!$O$3:$O$5</c:f>
              <c:strCache>
                <c:ptCount val="1"/>
                <c:pt idx="0">
                  <c:v>ТОО Надежда - Сума з Поле1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table'!$A$6:$A$21</c:f>
              <c:multiLvlStrCache>
                <c:ptCount val="13"/>
                <c:lvl>
                  <c:pt idx="0">
                    <c:v>Чер</c:v>
                  </c:pt>
                  <c:pt idx="1">
                    <c:v>Січ</c:v>
                  </c:pt>
                  <c:pt idx="2">
                    <c:v>Лют</c:v>
                  </c:pt>
                  <c:pt idx="3">
                    <c:v>Бер</c:v>
                  </c:pt>
                  <c:pt idx="4">
                    <c:v>Кві</c:v>
                  </c:pt>
                  <c:pt idx="5">
                    <c:v>Тра</c:v>
                  </c:pt>
                  <c:pt idx="6">
                    <c:v>Чер</c:v>
                  </c:pt>
                  <c:pt idx="7">
                    <c:v>Лип</c:v>
                  </c:pt>
                  <c:pt idx="8">
                    <c:v>Сер</c:v>
                  </c:pt>
                  <c:pt idx="9">
                    <c:v>Вер</c:v>
                  </c:pt>
                  <c:pt idx="10">
                    <c:v>Жов</c:v>
                  </c:pt>
                  <c:pt idx="11">
                    <c:v>Лис</c:v>
                  </c:pt>
                  <c:pt idx="12">
                    <c:v>Гру</c:v>
                  </c:pt>
                </c:lvl>
                <c:lvl>
                  <c:pt idx="0">
                    <c:v>1997</c:v>
                  </c:pt>
                  <c:pt idx="1">
                    <c:v>2002</c:v>
                  </c:pt>
                </c:lvl>
              </c:multiLvlStrCache>
            </c:multiLvlStrRef>
          </c:cat>
          <c:val>
            <c:numRef>
              <c:f>'Pivot table'!$O$6:$O$21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8B-4EDE-9EA4-F9B0984165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674070895"/>
        <c:axId val="1522762447"/>
        <c:axId val="0"/>
      </c:bar3DChart>
      <c:catAx>
        <c:axId val="167407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22762447"/>
        <c:crosses val="autoZero"/>
        <c:auto val="1"/>
        <c:lblAlgn val="ctr"/>
        <c:lblOffset val="100"/>
        <c:noMultiLvlLbl val="0"/>
      </c:catAx>
      <c:valAx>
        <c:axId val="1522762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407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5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9525</xdr:rowOff>
    </xdr:from>
    <xdr:to>
      <xdr:col>22</xdr:col>
      <xdr:colOff>123825</xdr:colOff>
      <xdr:row>36</xdr:row>
      <xdr:rowOff>104775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BC9DA7A9-639A-4148-8A14-0BA0E1A3A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" refreshedDate="46138.778606828702" createdVersion="6" refreshedVersion="6" minRefreshableVersion="3" recordCount="367" xr:uid="{4D4447CB-CD7D-4D3F-9EBB-6028257EAF4F}">
  <cacheSource type="worksheet">
    <worksheetSource ref="A1:D368" sheet="Завдання 5"/>
  </cacheSource>
  <cacheFields count="7">
    <cacheField name="Дата" numFmtId="14">
      <sharedItems containsSemiMixedTypes="0" containsNonDate="0" containsDate="1" containsString="0" minDate="1997-06-30T00:00:00" maxDate="2003-01-01T00:00:00" count="359">
        <d v="1997-06-30T00:00:00"/>
        <d v="2002-01-01T00:00:00"/>
        <d v="2002-01-05T00:00:00"/>
        <d v="2002-01-06T00:00:00"/>
        <d v="2002-01-07T00:00:00"/>
        <d v="2002-01-08T00:00:00"/>
        <d v="2002-01-09T00:00:00"/>
        <d v="2002-01-10T00:00:00"/>
        <d v="2002-01-12T00:00:00"/>
        <d v="2002-01-13T00:00:00"/>
        <d v="2002-01-14T00:00:00"/>
        <d v="2002-01-15T00:00:00"/>
        <d v="2002-01-16T00:00:00"/>
        <d v="2002-01-17T00:00:00"/>
        <d v="2002-01-18T00:00:00"/>
        <d v="2002-01-19T00:00:00"/>
        <d v="2002-01-20T00:00:00"/>
        <d v="2002-01-21T00:00:00"/>
        <d v="2002-01-22T00:00:00"/>
        <d v="2002-01-23T00:00:00"/>
        <d v="2002-01-24T00:00:00"/>
        <d v="2002-01-25T00:00:00"/>
        <d v="2002-01-26T00:00:00"/>
        <d v="2002-01-27T00:00:00"/>
        <d v="2002-01-28T00:00:00"/>
        <d v="2002-01-29T00:00:00"/>
        <d v="2002-01-30T00:00:00"/>
        <d v="2002-01-31T00:00:00"/>
        <d v="2002-02-02T00:00:00"/>
        <d v="2002-02-03T00:00:00"/>
        <d v="2002-02-04T00:00:00"/>
        <d v="2002-02-05T00:00:00"/>
        <d v="2002-02-06T00:00:00"/>
        <d v="2002-02-07T00:00:00"/>
        <d v="2002-02-08T00:00:00"/>
        <d v="2002-02-09T00:00:00"/>
        <d v="2002-02-10T00:00:00"/>
        <d v="2002-02-11T00:00:00"/>
        <d v="2002-02-12T00:00:00"/>
        <d v="2002-02-13T00:00:00"/>
        <d v="2002-02-14T00:00:00"/>
        <d v="2002-02-15T00:00:00"/>
        <d v="2002-02-16T00:00:00"/>
        <d v="2002-02-17T00:00:00"/>
        <d v="2002-02-18T00:00:00"/>
        <d v="2002-02-19T00:00:00"/>
        <d v="2002-02-20T00:00:00"/>
        <d v="2002-02-21T00:00:00"/>
        <d v="2002-02-22T00:00:00"/>
        <d v="2002-02-23T00:00:00"/>
        <d v="2002-02-24T00:00:00"/>
        <d v="2002-02-25T00:00:00"/>
        <d v="2002-02-26T00:00:00"/>
        <d v="2002-02-27T00:00:00"/>
        <d v="2002-02-28T00:00:00"/>
        <d v="2002-03-01T00:00:00"/>
        <d v="2002-03-02T00:00:00"/>
        <d v="2002-03-03T00:00:00"/>
        <d v="2002-03-04T00:00:00"/>
        <d v="2002-03-05T00:00:00"/>
        <d v="2002-03-06T00:00:00"/>
        <d v="2002-03-07T00:00:00"/>
        <d v="2002-03-08T00:00:00"/>
        <d v="2002-03-09T00:00:00"/>
        <d v="2002-03-10T00:00:00"/>
        <d v="2002-03-11T00:00:00"/>
        <d v="2002-03-12T00:00:00"/>
        <d v="2002-03-13T00:00:00"/>
        <d v="2002-03-14T00:00:00"/>
        <d v="2002-03-15T00:00:00"/>
        <d v="2002-03-16T00:00:00"/>
        <d v="2002-03-17T00:00:00"/>
        <d v="2002-03-18T00:00:00"/>
        <d v="2002-03-19T00:00:00"/>
        <d v="2002-03-20T00:00:00"/>
        <d v="2002-03-21T00:00:00"/>
        <d v="2002-03-22T00:00:00"/>
        <d v="2002-03-23T00:00:00"/>
        <d v="2002-03-24T00:00:00"/>
        <d v="2002-03-25T00:00:00"/>
        <d v="2002-03-26T00:00:00"/>
        <d v="2002-03-27T00:00:00"/>
        <d v="2002-03-28T00:00:00"/>
        <d v="2002-03-29T00:00:00"/>
        <d v="2002-03-30T00:00:00"/>
        <d v="2002-03-31T00:00:00"/>
        <d v="2002-04-01T00:00:00"/>
        <d v="2002-04-02T00:00:00"/>
        <d v="2002-04-03T00:00:00"/>
        <d v="2002-04-04T00:00:00"/>
        <d v="2002-04-05T00:00:00"/>
        <d v="2002-04-06T00:00:00"/>
        <d v="2002-04-07T00:00:00"/>
        <d v="2002-04-08T00:00:00"/>
        <d v="2002-04-09T00:00:00"/>
        <d v="2002-04-10T00:00:00"/>
        <d v="2002-04-11T00:00:00"/>
        <d v="2002-04-12T00:00:00"/>
        <d v="2002-04-13T00:00:00"/>
        <d v="2002-04-14T00:00:00"/>
        <d v="2002-04-15T00:00:00"/>
        <d v="2002-04-16T00:00:00"/>
        <d v="2002-04-17T00:00:00"/>
        <d v="2002-04-18T00:00:00"/>
        <d v="2002-04-19T00:00:00"/>
        <d v="2002-04-20T00:00:00"/>
        <d v="2002-04-21T00:00:00"/>
        <d v="2002-04-22T00:00:00"/>
        <d v="2002-04-23T00:00:00"/>
        <d v="2002-04-24T00:00:00"/>
        <d v="2002-04-25T00:00:00"/>
        <d v="2002-04-26T00:00:00"/>
        <d v="2002-04-27T00:00:00"/>
        <d v="2002-04-28T00:00:00"/>
        <d v="2002-04-29T00:00:00"/>
        <d v="2002-04-30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2-08-01T00:00:00"/>
        <d v="2002-08-02T00:00:00"/>
        <d v="2002-08-03T00:00:00"/>
        <d v="2002-08-04T00:00:00"/>
        <d v="2002-08-05T00:00:00"/>
        <d v="2002-08-06T00:00:00"/>
        <d v="2002-08-07T00:00:00"/>
        <d v="2002-08-08T00:00:00"/>
        <d v="2002-08-09T00:00:00"/>
        <d v="2002-08-10T00:00:00"/>
        <d v="2002-08-11T00:00:00"/>
        <d v="2002-08-12T00:00:00"/>
        <d v="2002-08-13T00:00:00"/>
        <d v="2002-08-14T00:00:00"/>
        <d v="2002-08-15T00:00:00"/>
        <d v="2002-08-16T00:00:00"/>
        <d v="2002-08-17T00:00:00"/>
        <d v="2002-08-18T00:00:00"/>
        <d v="2002-08-19T00:00:00"/>
        <d v="2002-08-20T00:00:00"/>
        <d v="2002-08-21T00:00:00"/>
        <d v="2002-08-22T00:00:00"/>
        <d v="2002-08-23T00:00:00"/>
        <d v="2002-08-24T00:00:00"/>
        <d v="2002-08-25T00:00:00"/>
        <d v="2002-08-26T00:00:00"/>
        <d v="2002-08-27T00:00:00"/>
        <d v="2002-08-28T00:00:00"/>
        <d v="2002-08-29T00:00:00"/>
        <d v="2002-08-30T00:00:00"/>
        <d v="2002-08-31T00:00:00"/>
        <d v="2002-09-01T00:00:00"/>
        <d v="2002-09-02T00:00:00"/>
        <d v="2002-09-03T00:00:00"/>
        <d v="2002-09-04T00:00:00"/>
        <d v="2002-09-05T00:00:00"/>
        <d v="2002-09-07T00:00:00"/>
        <d v="2002-09-08T00:00:00"/>
        <d v="2002-09-09T00:00:00"/>
        <d v="2002-09-10T00:00:00"/>
        <d v="2002-09-11T00:00:00"/>
        <d v="2002-09-12T00:00:00"/>
        <d v="2002-09-13T00:00:00"/>
        <d v="2002-09-14T00:00:00"/>
        <d v="2002-09-15T00:00:00"/>
        <d v="2002-09-16T00:00:00"/>
        <d v="2002-09-17T00:00:00"/>
        <d v="2002-09-18T00:00:00"/>
        <d v="2002-09-19T00:00:00"/>
        <d v="2002-09-20T00:00:00"/>
        <d v="2002-09-21T00:00:00"/>
        <d v="2002-09-22T00:00:00"/>
        <d v="2002-09-23T00:00:00"/>
        <d v="2002-09-24T00:00:00"/>
        <d v="2002-09-25T00:00:00"/>
        <d v="2002-09-26T00:00:00"/>
        <d v="2002-09-27T00:00:00"/>
        <d v="2002-09-28T00:00:00"/>
        <d v="2002-09-29T00:00:00"/>
        <d v="2002-09-30T00:00:00"/>
        <d v="2002-10-01T00:00:00"/>
        <d v="2002-10-02T00:00:00"/>
        <d v="2002-10-03T00:00:00"/>
        <d v="2002-10-04T00:00:00"/>
        <d v="2002-10-05T00:00:00"/>
        <d v="2002-10-06T00:00:00"/>
        <d v="2002-10-07T00:00:00"/>
        <d v="2002-10-08T00:00:00"/>
        <d v="2002-10-09T00:00:00"/>
        <d v="2002-10-10T00:00:00"/>
        <d v="2002-10-11T00:00:00"/>
        <d v="2002-10-12T00:00:00"/>
        <d v="2002-10-13T00:00:00"/>
        <d v="2002-10-14T00:00:00"/>
        <d v="2002-10-15T00:00:00"/>
        <d v="2002-10-16T00:00:00"/>
        <d v="2002-10-17T00:00:00"/>
        <d v="2002-10-18T00:00:00"/>
        <d v="2002-10-19T00:00:00"/>
        <d v="2002-10-20T00:00:00"/>
        <d v="2002-10-21T00:00:00"/>
        <d v="2002-10-22T00:00:00"/>
        <d v="2002-10-23T00:00:00"/>
        <d v="2002-10-24T00:00:00"/>
        <d v="2002-10-25T00:00:00"/>
        <d v="2002-10-26T00:00:00"/>
        <d v="2002-10-27T00:00:00"/>
        <d v="2002-10-28T00:00:00"/>
        <d v="2002-10-29T00:00:00"/>
        <d v="2002-10-30T00:00:00"/>
        <d v="2002-10-31T00:00:00"/>
        <d v="2002-11-01T00:00:00"/>
        <d v="2002-11-02T00:00:00"/>
        <d v="2002-11-03T00:00:00"/>
        <d v="2002-11-04T00:00:00"/>
        <d v="2002-11-05T00:00:00"/>
        <d v="2002-11-06T00:00:00"/>
        <d v="2002-11-07T00:00:00"/>
        <d v="2002-11-08T00:00:00"/>
        <d v="2002-11-09T00:00:00"/>
        <d v="2002-11-10T00:00:00"/>
        <d v="2002-11-11T00:00:00"/>
        <d v="2002-11-12T00:00:00"/>
        <d v="2002-11-13T00:00:00"/>
        <d v="2002-11-14T00:00:00"/>
        <d v="2002-11-15T00:00:00"/>
        <d v="2002-11-16T00:00:00"/>
        <d v="2002-11-17T00:00:00"/>
        <d v="2002-11-18T00:00:00"/>
        <d v="2002-11-19T00:00:00"/>
        <d v="2002-11-20T00:00:00"/>
        <d v="2002-11-21T00:00:00"/>
        <d v="2002-11-22T00:00:00"/>
        <d v="2002-11-23T00:00:00"/>
        <d v="2002-11-24T00:00:00"/>
        <d v="2002-11-25T00:00:00"/>
        <d v="2002-11-26T00:00:00"/>
        <d v="2002-11-27T00:00:00"/>
        <d v="2002-11-28T00:00:00"/>
        <d v="2002-11-29T00:00:00"/>
        <d v="2002-11-30T00:00:00"/>
        <d v="2002-12-01T00:00:00"/>
        <d v="2002-12-02T00:00:00"/>
        <d v="2002-12-03T00:00:00"/>
        <d v="2002-12-04T00:00:00"/>
        <d v="2002-12-05T00:00:00"/>
        <d v="2002-12-06T00:00:00"/>
        <d v="2002-12-07T00:00:00"/>
        <d v="2002-12-08T00:00:00"/>
        <d v="2002-12-09T00:00:00"/>
        <d v="2002-12-10T00:00:00"/>
        <d v="2002-12-11T00:00:00"/>
        <d v="2002-12-12T00:00:00"/>
        <d v="2002-12-13T00:00:00"/>
        <d v="2002-12-14T00:00:00"/>
        <d v="2002-12-15T00:00:00"/>
        <d v="2002-12-16T00:00:00"/>
        <d v="2002-12-17T00:00:00"/>
        <d v="2002-12-18T00:00:00"/>
        <d v="2002-12-19T00:00:00"/>
        <d v="2002-12-20T00:00:00"/>
        <d v="2002-12-21T00:00:00"/>
        <d v="2002-12-22T00:00:00"/>
        <d v="2002-12-23T00:00:00"/>
        <d v="2002-12-24T00:00:00"/>
        <d v="2002-12-25T00:00:00"/>
        <d v="2002-12-26T00:00:00"/>
        <d v="2002-12-27T00:00:00"/>
        <d v="2002-12-28T00:00:00"/>
        <d v="2002-12-29T00:00:00"/>
        <d v="2002-12-30T00:00:00"/>
        <d v="2002-12-31T00:00:00"/>
      </sharedItems>
      <fieldGroup par="5" base="0">
        <rangePr groupBy="months" startDate="1997-06-30T00:00:00" endDate="2003-01-01T00:00:00"/>
        <groupItems count="14">
          <s v="&lt;30.06.1997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01.01.2003"/>
        </groupItems>
      </fieldGroup>
    </cacheField>
    <cacheField name="Витрати" numFmtId="0">
      <sharedItems count="3">
        <s v="Матеріали"/>
        <s v="Накладні витрати"/>
        <s v="Зарплата"/>
      </sharedItems>
    </cacheField>
    <cacheField name="Сума" numFmtId="0">
      <sharedItems containsSemiMixedTypes="0" containsString="0" containsNumber="1" containsInteger="1" minValue="566" maxValue="2800"/>
    </cacheField>
    <cacheField name="Одержувач" numFmtId="0">
      <sharedItems count="7">
        <s v="АО Престиж"/>
        <s v="АО ИНВЕСТ"/>
        <s v="Иванов И.И."/>
        <s v="Васильева М.Ф."/>
        <s v="Казаков С.С."/>
        <s v="ТОО Надежда"/>
        <s v="ЗАО БИН"/>
      </sharedItems>
    </cacheField>
    <cacheField name="Квартали" numFmtId="0" databaseField="0">
      <fieldGroup base="0">
        <rangePr groupBy="quarters" startDate="1997-06-30T00:00:00" endDate="2003-01-01T00:00:00"/>
        <groupItems count="6">
          <s v="&lt;30.06.1997"/>
          <s v="Кв.1"/>
          <s v="Кв.2"/>
          <s v="Кв.3"/>
          <s v="Кв.4"/>
          <s v="&gt;01.01.2003"/>
        </groupItems>
      </fieldGroup>
    </cacheField>
    <cacheField name="Роки" numFmtId="0" databaseField="0">
      <fieldGroup base="0">
        <rangePr groupBy="years" startDate="1997-06-30T00:00:00" endDate="2003-01-01T00:00:00"/>
        <groupItems count="9">
          <s v="&lt;30.06.1997"/>
          <s v="1997"/>
          <s v="1998"/>
          <s v="1999"/>
          <s v="2000"/>
          <s v="2001"/>
          <s v="2002"/>
          <s v="2003"/>
          <s v="&gt;01.01.2003"/>
        </groupItems>
      </fieldGroup>
    </cacheField>
    <cacheField name="Поле1" numFmtId="0" formula="Дата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x v="0"/>
    <n v="800"/>
    <x v="0"/>
  </r>
  <r>
    <x v="1"/>
    <x v="1"/>
    <n v="1000"/>
    <x v="1"/>
  </r>
  <r>
    <x v="2"/>
    <x v="2"/>
    <n v="945"/>
    <x v="2"/>
  </r>
  <r>
    <x v="2"/>
    <x v="2"/>
    <n v="1000"/>
    <x v="3"/>
  </r>
  <r>
    <x v="2"/>
    <x v="2"/>
    <n v="1270"/>
    <x v="4"/>
  </r>
  <r>
    <x v="2"/>
    <x v="1"/>
    <n v="566"/>
    <x v="5"/>
  </r>
  <r>
    <x v="2"/>
    <x v="1"/>
    <n v="600"/>
    <x v="6"/>
  </r>
  <r>
    <x v="3"/>
    <x v="1"/>
    <n v="945"/>
    <x v="1"/>
  </r>
  <r>
    <x v="4"/>
    <x v="0"/>
    <n v="945"/>
    <x v="0"/>
  </r>
  <r>
    <x v="5"/>
    <x v="1"/>
    <n v="945"/>
    <x v="5"/>
  </r>
  <r>
    <x v="6"/>
    <x v="1"/>
    <n v="945"/>
    <x v="6"/>
  </r>
  <r>
    <x v="7"/>
    <x v="2"/>
    <n v="945"/>
    <x v="3"/>
  </r>
  <r>
    <x v="8"/>
    <x v="2"/>
    <n v="945"/>
    <x v="2"/>
  </r>
  <r>
    <x v="9"/>
    <x v="1"/>
    <n v="945"/>
    <x v="1"/>
  </r>
  <r>
    <x v="10"/>
    <x v="0"/>
    <n v="945"/>
    <x v="0"/>
  </r>
  <r>
    <x v="11"/>
    <x v="1"/>
    <n v="945"/>
    <x v="5"/>
  </r>
  <r>
    <x v="12"/>
    <x v="1"/>
    <n v="945"/>
    <x v="6"/>
  </r>
  <r>
    <x v="13"/>
    <x v="2"/>
    <n v="945"/>
    <x v="3"/>
  </r>
  <r>
    <x v="14"/>
    <x v="2"/>
    <n v="945"/>
    <x v="4"/>
  </r>
  <r>
    <x v="15"/>
    <x v="2"/>
    <n v="945"/>
    <x v="2"/>
  </r>
  <r>
    <x v="16"/>
    <x v="1"/>
    <n v="945"/>
    <x v="1"/>
  </r>
  <r>
    <x v="17"/>
    <x v="0"/>
    <n v="945"/>
    <x v="0"/>
  </r>
  <r>
    <x v="18"/>
    <x v="1"/>
    <n v="945"/>
    <x v="5"/>
  </r>
  <r>
    <x v="19"/>
    <x v="1"/>
    <n v="945"/>
    <x v="6"/>
  </r>
  <r>
    <x v="20"/>
    <x v="2"/>
    <n v="945"/>
    <x v="3"/>
  </r>
  <r>
    <x v="21"/>
    <x v="2"/>
    <n v="945"/>
    <x v="4"/>
  </r>
  <r>
    <x v="22"/>
    <x v="2"/>
    <n v="945"/>
    <x v="2"/>
  </r>
  <r>
    <x v="23"/>
    <x v="1"/>
    <n v="945"/>
    <x v="1"/>
  </r>
  <r>
    <x v="24"/>
    <x v="0"/>
    <n v="945"/>
    <x v="0"/>
  </r>
  <r>
    <x v="25"/>
    <x v="1"/>
    <n v="945"/>
    <x v="5"/>
  </r>
  <r>
    <x v="26"/>
    <x v="1"/>
    <n v="945"/>
    <x v="6"/>
  </r>
  <r>
    <x v="27"/>
    <x v="2"/>
    <n v="945"/>
    <x v="3"/>
  </r>
  <r>
    <x v="28"/>
    <x v="2"/>
    <n v="945"/>
    <x v="2"/>
  </r>
  <r>
    <x v="29"/>
    <x v="1"/>
    <n v="945"/>
    <x v="1"/>
  </r>
  <r>
    <x v="30"/>
    <x v="0"/>
    <n v="945"/>
    <x v="0"/>
  </r>
  <r>
    <x v="31"/>
    <x v="1"/>
    <n v="945"/>
    <x v="5"/>
  </r>
  <r>
    <x v="32"/>
    <x v="1"/>
    <n v="945"/>
    <x v="6"/>
  </r>
  <r>
    <x v="33"/>
    <x v="2"/>
    <n v="945"/>
    <x v="3"/>
  </r>
  <r>
    <x v="34"/>
    <x v="2"/>
    <n v="945"/>
    <x v="4"/>
  </r>
  <r>
    <x v="35"/>
    <x v="2"/>
    <n v="945"/>
    <x v="2"/>
  </r>
  <r>
    <x v="36"/>
    <x v="1"/>
    <n v="945"/>
    <x v="1"/>
  </r>
  <r>
    <x v="37"/>
    <x v="0"/>
    <n v="945"/>
    <x v="0"/>
  </r>
  <r>
    <x v="38"/>
    <x v="1"/>
    <n v="945"/>
    <x v="5"/>
  </r>
  <r>
    <x v="39"/>
    <x v="1"/>
    <n v="945"/>
    <x v="6"/>
  </r>
  <r>
    <x v="40"/>
    <x v="2"/>
    <n v="945"/>
    <x v="3"/>
  </r>
  <r>
    <x v="41"/>
    <x v="2"/>
    <n v="945"/>
    <x v="4"/>
  </r>
  <r>
    <x v="42"/>
    <x v="2"/>
    <n v="945"/>
    <x v="2"/>
  </r>
  <r>
    <x v="43"/>
    <x v="1"/>
    <n v="945"/>
    <x v="1"/>
  </r>
  <r>
    <x v="44"/>
    <x v="0"/>
    <n v="945"/>
    <x v="0"/>
  </r>
  <r>
    <x v="45"/>
    <x v="1"/>
    <n v="945"/>
    <x v="5"/>
  </r>
  <r>
    <x v="46"/>
    <x v="1"/>
    <n v="945"/>
    <x v="6"/>
  </r>
  <r>
    <x v="47"/>
    <x v="2"/>
    <n v="945"/>
    <x v="3"/>
  </r>
  <r>
    <x v="48"/>
    <x v="2"/>
    <n v="945"/>
    <x v="4"/>
  </r>
  <r>
    <x v="49"/>
    <x v="2"/>
    <n v="945"/>
    <x v="2"/>
  </r>
  <r>
    <x v="50"/>
    <x v="1"/>
    <n v="945"/>
    <x v="1"/>
  </r>
  <r>
    <x v="51"/>
    <x v="0"/>
    <n v="945"/>
    <x v="0"/>
  </r>
  <r>
    <x v="52"/>
    <x v="1"/>
    <n v="945"/>
    <x v="5"/>
  </r>
  <r>
    <x v="53"/>
    <x v="1"/>
    <n v="945"/>
    <x v="6"/>
  </r>
  <r>
    <x v="54"/>
    <x v="2"/>
    <n v="945"/>
    <x v="3"/>
  </r>
  <r>
    <x v="55"/>
    <x v="2"/>
    <n v="945"/>
    <x v="4"/>
  </r>
  <r>
    <x v="56"/>
    <x v="2"/>
    <n v="945"/>
    <x v="2"/>
  </r>
  <r>
    <x v="57"/>
    <x v="1"/>
    <n v="945"/>
    <x v="1"/>
  </r>
  <r>
    <x v="58"/>
    <x v="0"/>
    <n v="945"/>
    <x v="0"/>
  </r>
  <r>
    <x v="59"/>
    <x v="1"/>
    <n v="945"/>
    <x v="5"/>
  </r>
  <r>
    <x v="60"/>
    <x v="1"/>
    <n v="945"/>
    <x v="6"/>
  </r>
  <r>
    <x v="61"/>
    <x v="2"/>
    <n v="945"/>
    <x v="3"/>
  </r>
  <r>
    <x v="62"/>
    <x v="2"/>
    <n v="945"/>
    <x v="4"/>
  </r>
  <r>
    <x v="63"/>
    <x v="2"/>
    <n v="945"/>
    <x v="2"/>
  </r>
  <r>
    <x v="64"/>
    <x v="1"/>
    <n v="945"/>
    <x v="1"/>
  </r>
  <r>
    <x v="65"/>
    <x v="0"/>
    <n v="945"/>
    <x v="0"/>
  </r>
  <r>
    <x v="66"/>
    <x v="1"/>
    <n v="945"/>
    <x v="5"/>
  </r>
  <r>
    <x v="67"/>
    <x v="1"/>
    <n v="945"/>
    <x v="6"/>
  </r>
  <r>
    <x v="68"/>
    <x v="2"/>
    <n v="945"/>
    <x v="3"/>
  </r>
  <r>
    <x v="69"/>
    <x v="2"/>
    <n v="945"/>
    <x v="4"/>
  </r>
  <r>
    <x v="70"/>
    <x v="2"/>
    <n v="945"/>
    <x v="2"/>
  </r>
  <r>
    <x v="71"/>
    <x v="1"/>
    <n v="945"/>
    <x v="1"/>
  </r>
  <r>
    <x v="72"/>
    <x v="0"/>
    <n v="945"/>
    <x v="0"/>
  </r>
  <r>
    <x v="73"/>
    <x v="1"/>
    <n v="945"/>
    <x v="5"/>
  </r>
  <r>
    <x v="74"/>
    <x v="1"/>
    <n v="945"/>
    <x v="6"/>
  </r>
  <r>
    <x v="75"/>
    <x v="2"/>
    <n v="945"/>
    <x v="3"/>
  </r>
  <r>
    <x v="76"/>
    <x v="2"/>
    <n v="945"/>
    <x v="4"/>
  </r>
  <r>
    <x v="77"/>
    <x v="2"/>
    <n v="945"/>
    <x v="2"/>
  </r>
  <r>
    <x v="78"/>
    <x v="1"/>
    <n v="945"/>
    <x v="1"/>
  </r>
  <r>
    <x v="79"/>
    <x v="0"/>
    <n v="945"/>
    <x v="0"/>
  </r>
  <r>
    <x v="80"/>
    <x v="1"/>
    <n v="945"/>
    <x v="5"/>
  </r>
  <r>
    <x v="81"/>
    <x v="1"/>
    <n v="945"/>
    <x v="6"/>
  </r>
  <r>
    <x v="82"/>
    <x v="2"/>
    <n v="945"/>
    <x v="3"/>
  </r>
  <r>
    <x v="83"/>
    <x v="2"/>
    <n v="945"/>
    <x v="4"/>
  </r>
  <r>
    <x v="84"/>
    <x v="2"/>
    <n v="945"/>
    <x v="2"/>
  </r>
  <r>
    <x v="85"/>
    <x v="1"/>
    <n v="945"/>
    <x v="1"/>
  </r>
  <r>
    <x v="86"/>
    <x v="0"/>
    <n v="945"/>
    <x v="0"/>
  </r>
  <r>
    <x v="87"/>
    <x v="1"/>
    <n v="945"/>
    <x v="5"/>
  </r>
  <r>
    <x v="88"/>
    <x v="1"/>
    <n v="945"/>
    <x v="6"/>
  </r>
  <r>
    <x v="89"/>
    <x v="2"/>
    <n v="945"/>
    <x v="3"/>
  </r>
  <r>
    <x v="90"/>
    <x v="2"/>
    <n v="945"/>
    <x v="4"/>
  </r>
  <r>
    <x v="91"/>
    <x v="2"/>
    <n v="945"/>
    <x v="2"/>
  </r>
  <r>
    <x v="92"/>
    <x v="1"/>
    <n v="945"/>
    <x v="1"/>
  </r>
  <r>
    <x v="93"/>
    <x v="0"/>
    <n v="945"/>
    <x v="0"/>
  </r>
  <r>
    <x v="94"/>
    <x v="1"/>
    <n v="945"/>
    <x v="5"/>
  </r>
  <r>
    <x v="95"/>
    <x v="1"/>
    <n v="945"/>
    <x v="6"/>
  </r>
  <r>
    <x v="96"/>
    <x v="2"/>
    <n v="945"/>
    <x v="3"/>
  </r>
  <r>
    <x v="97"/>
    <x v="2"/>
    <n v="945"/>
    <x v="4"/>
  </r>
  <r>
    <x v="98"/>
    <x v="2"/>
    <n v="945"/>
    <x v="2"/>
  </r>
  <r>
    <x v="99"/>
    <x v="1"/>
    <n v="945"/>
    <x v="1"/>
  </r>
  <r>
    <x v="100"/>
    <x v="0"/>
    <n v="945"/>
    <x v="0"/>
  </r>
  <r>
    <x v="101"/>
    <x v="1"/>
    <n v="945"/>
    <x v="5"/>
  </r>
  <r>
    <x v="102"/>
    <x v="1"/>
    <n v="945"/>
    <x v="6"/>
  </r>
  <r>
    <x v="103"/>
    <x v="2"/>
    <n v="945"/>
    <x v="3"/>
  </r>
  <r>
    <x v="104"/>
    <x v="2"/>
    <n v="945"/>
    <x v="4"/>
  </r>
  <r>
    <x v="105"/>
    <x v="2"/>
    <n v="945"/>
    <x v="2"/>
  </r>
  <r>
    <x v="106"/>
    <x v="1"/>
    <n v="945"/>
    <x v="1"/>
  </r>
  <r>
    <x v="107"/>
    <x v="0"/>
    <n v="945"/>
    <x v="0"/>
  </r>
  <r>
    <x v="108"/>
    <x v="1"/>
    <n v="945"/>
    <x v="5"/>
  </r>
  <r>
    <x v="109"/>
    <x v="1"/>
    <n v="945"/>
    <x v="6"/>
  </r>
  <r>
    <x v="110"/>
    <x v="2"/>
    <n v="945"/>
    <x v="3"/>
  </r>
  <r>
    <x v="111"/>
    <x v="2"/>
    <n v="945"/>
    <x v="4"/>
  </r>
  <r>
    <x v="112"/>
    <x v="2"/>
    <n v="945"/>
    <x v="2"/>
  </r>
  <r>
    <x v="113"/>
    <x v="1"/>
    <n v="945"/>
    <x v="1"/>
  </r>
  <r>
    <x v="114"/>
    <x v="0"/>
    <n v="945"/>
    <x v="0"/>
  </r>
  <r>
    <x v="115"/>
    <x v="1"/>
    <n v="945"/>
    <x v="5"/>
  </r>
  <r>
    <x v="116"/>
    <x v="2"/>
    <n v="945"/>
    <x v="4"/>
  </r>
  <r>
    <x v="116"/>
    <x v="1"/>
    <n v="945"/>
    <x v="6"/>
  </r>
  <r>
    <x v="117"/>
    <x v="2"/>
    <n v="945"/>
    <x v="3"/>
  </r>
  <r>
    <x v="118"/>
    <x v="2"/>
    <n v="945"/>
    <x v="4"/>
  </r>
  <r>
    <x v="119"/>
    <x v="2"/>
    <n v="945"/>
    <x v="2"/>
  </r>
  <r>
    <x v="120"/>
    <x v="1"/>
    <n v="945"/>
    <x v="1"/>
  </r>
  <r>
    <x v="121"/>
    <x v="0"/>
    <n v="945"/>
    <x v="0"/>
  </r>
  <r>
    <x v="122"/>
    <x v="1"/>
    <n v="945"/>
    <x v="5"/>
  </r>
  <r>
    <x v="123"/>
    <x v="1"/>
    <n v="945"/>
    <x v="6"/>
  </r>
  <r>
    <x v="124"/>
    <x v="2"/>
    <n v="945"/>
    <x v="3"/>
  </r>
  <r>
    <x v="125"/>
    <x v="2"/>
    <n v="945"/>
    <x v="4"/>
  </r>
  <r>
    <x v="126"/>
    <x v="2"/>
    <n v="945"/>
    <x v="2"/>
  </r>
  <r>
    <x v="127"/>
    <x v="1"/>
    <n v="945"/>
    <x v="1"/>
  </r>
  <r>
    <x v="128"/>
    <x v="0"/>
    <n v="945"/>
    <x v="0"/>
  </r>
  <r>
    <x v="129"/>
    <x v="1"/>
    <n v="945"/>
    <x v="5"/>
  </r>
  <r>
    <x v="130"/>
    <x v="1"/>
    <n v="945"/>
    <x v="6"/>
  </r>
  <r>
    <x v="131"/>
    <x v="2"/>
    <n v="945"/>
    <x v="3"/>
  </r>
  <r>
    <x v="132"/>
    <x v="2"/>
    <n v="945"/>
    <x v="4"/>
  </r>
  <r>
    <x v="133"/>
    <x v="2"/>
    <n v="945"/>
    <x v="2"/>
  </r>
  <r>
    <x v="134"/>
    <x v="1"/>
    <n v="945"/>
    <x v="1"/>
  </r>
  <r>
    <x v="135"/>
    <x v="0"/>
    <n v="945"/>
    <x v="0"/>
  </r>
  <r>
    <x v="136"/>
    <x v="1"/>
    <n v="945"/>
    <x v="5"/>
  </r>
  <r>
    <x v="137"/>
    <x v="1"/>
    <n v="945"/>
    <x v="6"/>
  </r>
  <r>
    <x v="138"/>
    <x v="2"/>
    <n v="945"/>
    <x v="3"/>
  </r>
  <r>
    <x v="139"/>
    <x v="2"/>
    <n v="945"/>
    <x v="2"/>
  </r>
  <r>
    <x v="140"/>
    <x v="1"/>
    <n v="945"/>
    <x v="1"/>
  </r>
  <r>
    <x v="141"/>
    <x v="0"/>
    <n v="945"/>
    <x v="0"/>
  </r>
  <r>
    <x v="142"/>
    <x v="1"/>
    <n v="945"/>
    <x v="5"/>
  </r>
  <r>
    <x v="143"/>
    <x v="1"/>
    <n v="945"/>
    <x v="6"/>
  </r>
  <r>
    <x v="144"/>
    <x v="2"/>
    <n v="945"/>
    <x v="3"/>
  </r>
  <r>
    <x v="145"/>
    <x v="2"/>
    <n v="945"/>
    <x v="4"/>
  </r>
  <r>
    <x v="146"/>
    <x v="2"/>
    <n v="945"/>
    <x v="2"/>
  </r>
  <r>
    <x v="147"/>
    <x v="1"/>
    <n v="945"/>
    <x v="1"/>
  </r>
  <r>
    <x v="148"/>
    <x v="0"/>
    <n v="945"/>
    <x v="0"/>
  </r>
  <r>
    <x v="149"/>
    <x v="1"/>
    <n v="945"/>
    <x v="5"/>
  </r>
  <r>
    <x v="150"/>
    <x v="1"/>
    <n v="945"/>
    <x v="6"/>
  </r>
  <r>
    <x v="151"/>
    <x v="2"/>
    <n v="945"/>
    <x v="3"/>
  </r>
  <r>
    <x v="152"/>
    <x v="2"/>
    <n v="945"/>
    <x v="4"/>
  </r>
  <r>
    <x v="153"/>
    <x v="2"/>
    <n v="945"/>
    <x v="2"/>
  </r>
  <r>
    <x v="154"/>
    <x v="1"/>
    <n v="945"/>
    <x v="1"/>
  </r>
  <r>
    <x v="155"/>
    <x v="0"/>
    <n v="945"/>
    <x v="0"/>
  </r>
  <r>
    <x v="156"/>
    <x v="1"/>
    <n v="945"/>
    <x v="5"/>
  </r>
  <r>
    <x v="157"/>
    <x v="1"/>
    <n v="945"/>
    <x v="6"/>
  </r>
  <r>
    <x v="158"/>
    <x v="2"/>
    <n v="945"/>
    <x v="3"/>
  </r>
  <r>
    <x v="159"/>
    <x v="2"/>
    <n v="945"/>
    <x v="4"/>
  </r>
  <r>
    <x v="160"/>
    <x v="2"/>
    <n v="945"/>
    <x v="2"/>
  </r>
  <r>
    <x v="161"/>
    <x v="1"/>
    <n v="945"/>
    <x v="1"/>
  </r>
  <r>
    <x v="162"/>
    <x v="0"/>
    <n v="945"/>
    <x v="0"/>
  </r>
  <r>
    <x v="163"/>
    <x v="1"/>
    <n v="945"/>
    <x v="5"/>
  </r>
  <r>
    <x v="164"/>
    <x v="1"/>
    <n v="945"/>
    <x v="6"/>
  </r>
  <r>
    <x v="165"/>
    <x v="2"/>
    <n v="945"/>
    <x v="3"/>
  </r>
  <r>
    <x v="166"/>
    <x v="2"/>
    <n v="945"/>
    <x v="4"/>
  </r>
  <r>
    <x v="167"/>
    <x v="2"/>
    <n v="945"/>
    <x v="2"/>
  </r>
  <r>
    <x v="168"/>
    <x v="1"/>
    <n v="945"/>
    <x v="1"/>
  </r>
  <r>
    <x v="169"/>
    <x v="0"/>
    <n v="945"/>
    <x v="0"/>
  </r>
  <r>
    <x v="170"/>
    <x v="1"/>
    <n v="945"/>
    <x v="5"/>
  </r>
  <r>
    <x v="171"/>
    <x v="1"/>
    <n v="945"/>
    <x v="6"/>
  </r>
  <r>
    <x v="172"/>
    <x v="2"/>
    <n v="945"/>
    <x v="3"/>
  </r>
  <r>
    <x v="173"/>
    <x v="2"/>
    <n v="945"/>
    <x v="4"/>
  </r>
  <r>
    <x v="174"/>
    <x v="2"/>
    <n v="945"/>
    <x v="2"/>
  </r>
  <r>
    <x v="175"/>
    <x v="0"/>
    <n v="800"/>
    <x v="0"/>
  </r>
  <r>
    <x v="175"/>
    <x v="0"/>
    <n v="800"/>
    <x v="0"/>
  </r>
  <r>
    <x v="175"/>
    <x v="1"/>
    <n v="945"/>
    <x v="1"/>
  </r>
  <r>
    <x v="176"/>
    <x v="0"/>
    <n v="945"/>
    <x v="0"/>
  </r>
  <r>
    <x v="177"/>
    <x v="1"/>
    <n v="945"/>
    <x v="5"/>
  </r>
  <r>
    <x v="178"/>
    <x v="1"/>
    <n v="945"/>
    <x v="6"/>
  </r>
  <r>
    <x v="179"/>
    <x v="2"/>
    <n v="945"/>
    <x v="3"/>
  </r>
  <r>
    <x v="180"/>
    <x v="2"/>
    <n v="945"/>
    <x v="4"/>
  </r>
  <r>
    <x v="181"/>
    <x v="2"/>
    <n v="945"/>
    <x v="2"/>
  </r>
  <r>
    <x v="182"/>
    <x v="1"/>
    <n v="945"/>
    <x v="1"/>
  </r>
  <r>
    <x v="183"/>
    <x v="0"/>
    <n v="945"/>
    <x v="0"/>
  </r>
  <r>
    <x v="184"/>
    <x v="1"/>
    <n v="945"/>
    <x v="5"/>
  </r>
  <r>
    <x v="185"/>
    <x v="1"/>
    <n v="945"/>
    <x v="6"/>
  </r>
  <r>
    <x v="186"/>
    <x v="2"/>
    <n v="945"/>
    <x v="3"/>
  </r>
  <r>
    <x v="187"/>
    <x v="2"/>
    <n v="945"/>
    <x v="4"/>
  </r>
  <r>
    <x v="188"/>
    <x v="2"/>
    <n v="945"/>
    <x v="2"/>
  </r>
  <r>
    <x v="189"/>
    <x v="1"/>
    <n v="945"/>
    <x v="1"/>
  </r>
  <r>
    <x v="190"/>
    <x v="0"/>
    <n v="945"/>
    <x v="0"/>
  </r>
  <r>
    <x v="191"/>
    <x v="1"/>
    <n v="945"/>
    <x v="5"/>
  </r>
  <r>
    <x v="192"/>
    <x v="1"/>
    <n v="945"/>
    <x v="6"/>
  </r>
  <r>
    <x v="193"/>
    <x v="2"/>
    <n v="945"/>
    <x v="3"/>
  </r>
  <r>
    <x v="194"/>
    <x v="2"/>
    <n v="945"/>
    <x v="4"/>
  </r>
  <r>
    <x v="195"/>
    <x v="2"/>
    <n v="945"/>
    <x v="2"/>
  </r>
  <r>
    <x v="196"/>
    <x v="1"/>
    <n v="945"/>
    <x v="1"/>
  </r>
  <r>
    <x v="197"/>
    <x v="0"/>
    <n v="945"/>
    <x v="0"/>
  </r>
  <r>
    <x v="198"/>
    <x v="1"/>
    <n v="945"/>
    <x v="5"/>
  </r>
  <r>
    <x v="199"/>
    <x v="1"/>
    <n v="945"/>
    <x v="6"/>
  </r>
  <r>
    <x v="200"/>
    <x v="2"/>
    <n v="945"/>
    <x v="3"/>
  </r>
  <r>
    <x v="201"/>
    <x v="2"/>
    <n v="945"/>
    <x v="4"/>
  </r>
  <r>
    <x v="202"/>
    <x v="2"/>
    <n v="945"/>
    <x v="2"/>
  </r>
  <r>
    <x v="203"/>
    <x v="1"/>
    <n v="945"/>
    <x v="1"/>
  </r>
  <r>
    <x v="204"/>
    <x v="0"/>
    <n v="945"/>
    <x v="0"/>
  </r>
  <r>
    <x v="205"/>
    <x v="1"/>
    <n v="945"/>
    <x v="5"/>
  </r>
  <r>
    <x v="206"/>
    <x v="1"/>
    <n v="945"/>
    <x v="6"/>
  </r>
  <r>
    <x v="207"/>
    <x v="2"/>
    <n v="945"/>
    <x v="3"/>
  </r>
  <r>
    <x v="208"/>
    <x v="2"/>
    <n v="945"/>
    <x v="4"/>
  </r>
  <r>
    <x v="209"/>
    <x v="2"/>
    <n v="945"/>
    <x v="2"/>
  </r>
  <r>
    <x v="210"/>
    <x v="1"/>
    <n v="945"/>
    <x v="1"/>
  </r>
  <r>
    <x v="211"/>
    <x v="0"/>
    <n v="945"/>
    <x v="0"/>
  </r>
  <r>
    <x v="212"/>
    <x v="1"/>
    <n v="945"/>
    <x v="5"/>
  </r>
  <r>
    <x v="213"/>
    <x v="1"/>
    <n v="945"/>
    <x v="6"/>
  </r>
  <r>
    <x v="214"/>
    <x v="2"/>
    <n v="945"/>
    <x v="3"/>
  </r>
  <r>
    <x v="215"/>
    <x v="2"/>
    <n v="945"/>
    <x v="4"/>
  </r>
  <r>
    <x v="216"/>
    <x v="2"/>
    <n v="945"/>
    <x v="2"/>
  </r>
  <r>
    <x v="217"/>
    <x v="1"/>
    <n v="945"/>
    <x v="1"/>
  </r>
  <r>
    <x v="218"/>
    <x v="0"/>
    <n v="945"/>
    <x v="0"/>
  </r>
  <r>
    <x v="219"/>
    <x v="1"/>
    <n v="945"/>
    <x v="5"/>
  </r>
  <r>
    <x v="220"/>
    <x v="1"/>
    <n v="945"/>
    <x v="6"/>
  </r>
  <r>
    <x v="221"/>
    <x v="2"/>
    <n v="945"/>
    <x v="3"/>
  </r>
  <r>
    <x v="222"/>
    <x v="2"/>
    <n v="945"/>
    <x v="4"/>
  </r>
  <r>
    <x v="223"/>
    <x v="2"/>
    <n v="945"/>
    <x v="2"/>
  </r>
  <r>
    <x v="224"/>
    <x v="1"/>
    <n v="945"/>
    <x v="1"/>
  </r>
  <r>
    <x v="225"/>
    <x v="0"/>
    <n v="945"/>
    <x v="0"/>
  </r>
  <r>
    <x v="226"/>
    <x v="1"/>
    <n v="945"/>
    <x v="5"/>
  </r>
  <r>
    <x v="227"/>
    <x v="1"/>
    <n v="945"/>
    <x v="6"/>
  </r>
  <r>
    <x v="228"/>
    <x v="2"/>
    <n v="945"/>
    <x v="3"/>
  </r>
  <r>
    <x v="229"/>
    <x v="2"/>
    <n v="945"/>
    <x v="4"/>
  </r>
  <r>
    <x v="230"/>
    <x v="2"/>
    <n v="945"/>
    <x v="2"/>
  </r>
  <r>
    <x v="231"/>
    <x v="1"/>
    <n v="945"/>
    <x v="1"/>
  </r>
  <r>
    <x v="232"/>
    <x v="0"/>
    <n v="945"/>
    <x v="0"/>
  </r>
  <r>
    <x v="233"/>
    <x v="1"/>
    <n v="945"/>
    <x v="5"/>
  </r>
  <r>
    <x v="234"/>
    <x v="1"/>
    <n v="945"/>
    <x v="6"/>
  </r>
  <r>
    <x v="235"/>
    <x v="2"/>
    <n v="945"/>
    <x v="3"/>
  </r>
  <r>
    <x v="236"/>
    <x v="2"/>
    <n v="945"/>
    <x v="4"/>
  </r>
  <r>
    <x v="237"/>
    <x v="2"/>
    <n v="945"/>
    <x v="2"/>
  </r>
  <r>
    <x v="238"/>
    <x v="1"/>
    <n v="945"/>
    <x v="1"/>
  </r>
  <r>
    <x v="239"/>
    <x v="0"/>
    <n v="945"/>
    <x v="0"/>
  </r>
  <r>
    <x v="240"/>
    <x v="1"/>
    <n v="945"/>
    <x v="5"/>
  </r>
  <r>
    <x v="241"/>
    <x v="1"/>
    <n v="945"/>
    <x v="6"/>
  </r>
  <r>
    <x v="242"/>
    <x v="2"/>
    <n v="945"/>
    <x v="3"/>
  </r>
  <r>
    <x v="242"/>
    <x v="2"/>
    <n v="2800"/>
    <x v="4"/>
  </r>
  <r>
    <x v="243"/>
    <x v="2"/>
    <n v="945"/>
    <x v="2"/>
  </r>
  <r>
    <x v="244"/>
    <x v="1"/>
    <n v="945"/>
    <x v="1"/>
  </r>
  <r>
    <x v="245"/>
    <x v="0"/>
    <n v="945"/>
    <x v="0"/>
  </r>
  <r>
    <x v="246"/>
    <x v="1"/>
    <n v="945"/>
    <x v="5"/>
  </r>
  <r>
    <x v="247"/>
    <x v="1"/>
    <n v="945"/>
    <x v="6"/>
  </r>
  <r>
    <x v="248"/>
    <x v="2"/>
    <n v="945"/>
    <x v="3"/>
  </r>
  <r>
    <x v="249"/>
    <x v="2"/>
    <n v="945"/>
    <x v="4"/>
  </r>
  <r>
    <x v="250"/>
    <x v="2"/>
    <n v="1800"/>
    <x v="4"/>
  </r>
  <r>
    <x v="251"/>
    <x v="1"/>
    <n v="945"/>
    <x v="1"/>
  </r>
  <r>
    <x v="252"/>
    <x v="0"/>
    <n v="945"/>
    <x v="0"/>
  </r>
  <r>
    <x v="253"/>
    <x v="1"/>
    <n v="945"/>
    <x v="5"/>
  </r>
  <r>
    <x v="254"/>
    <x v="1"/>
    <n v="945"/>
    <x v="6"/>
  </r>
  <r>
    <x v="255"/>
    <x v="2"/>
    <n v="945"/>
    <x v="3"/>
  </r>
  <r>
    <x v="256"/>
    <x v="2"/>
    <n v="945"/>
    <x v="4"/>
  </r>
  <r>
    <x v="257"/>
    <x v="2"/>
    <n v="945"/>
    <x v="2"/>
  </r>
  <r>
    <x v="258"/>
    <x v="1"/>
    <n v="945"/>
    <x v="1"/>
  </r>
  <r>
    <x v="259"/>
    <x v="0"/>
    <n v="945"/>
    <x v="0"/>
  </r>
  <r>
    <x v="260"/>
    <x v="1"/>
    <n v="945"/>
    <x v="5"/>
  </r>
  <r>
    <x v="261"/>
    <x v="1"/>
    <n v="945"/>
    <x v="6"/>
  </r>
  <r>
    <x v="262"/>
    <x v="2"/>
    <n v="945"/>
    <x v="3"/>
  </r>
  <r>
    <x v="263"/>
    <x v="2"/>
    <n v="945"/>
    <x v="4"/>
  </r>
  <r>
    <x v="264"/>
    <x v="2"/>
    <n v="945"/>
    <x v="2"/>
  </r>
  <r>
    <x v="265"/>
    <x v="1"/>
    <n v="945"/>
    <x v="1"/>
  </r>
  <r>
    <x v="266"/>
    <x v="0"/>
    <n v="945"/>
    <x v="0"/>
  </r>
  <r>
    <x v="267"/>
    <x v="1"/>
    <n v="945"/>
    <x v="5"/>
  </r>
  <r>
    <x v="268"/>
    <x v="1"/>
    <n v="945"/>
    <x v="6"/>
  </r>
  <r>
    <x v="269"/>
    <x v="2"/>
    <n v="945"/>
    <x v="3"/>
  </r>
  <r>
    <x v="270"/>
    <x v="2"/>
    <n v="945"/>
    <x v="4"/>
  </r>
  <r>
    <x v="271"/>
    <x v="2"/>
    <n v="945"/>
    <x v="2"/>
  </r>
  <r>
    <x v="272"/>
    <x v="1"/>
    <n v="945"/>
    <x v="1"/>
  </r>
  <r>
    <x v="273"/>
    <x v="0"/>
    <n v="945"/>
    <x v="0"/>
  </r>
  <r>
    <x v="274"/>
    <x v="1"/>
    <n v="945"/>
    <x v="5"/>
  </r>
  <r>
    <x v="275"/>
    <x v="1"/>
    <n v="945"/>
    <x v="6"/>
  </r>
  <r>
    <x v="276"/>
    <x v="2"/>
    <n v="945"/>
    <x v="3"/>
  </r>
  <r>
    <x v="277"/>
    <x v="2"/>
    <n v="945"/>
    <x v="4"/>
  </r>
  <r>
    <x v="278"/>
    <x v="2"/>
    <n v="945"/>
    <x v="2"/>
  </r>
  <r>
    <x v="279"/>
    <x v="1"/>
    <n v="945"/>
    <x v="1"/>
  </r>
  <r>
    <x v="280"/>
    <x v="0"/>
    <n v="945"/>
    <x v="0"/>
  </r>
  <r>
    <x v="281"/>
    <x v="1"/>
    <n v="945"/>
    <x v="5"/>
  </r>
  <r>
    <x v="282"/>
    <x v="1"/>
    <n v="945"/>
    <x v="6"/>
  </r>
  <r>
    <x v="283"/>
    <x v="2"/>
    <n v="945"/>
    <x v="3"/>
  </r>
  <r>
    <x v="284"/>
    <x v="2"/>
    <n v="945"/>
    <x v="4"/>
  </r>
  <r>
    <x v="285"/>
    <x v="2"/>
    <n v="945"/>
    <x v="2"/>
  </r>
  <r>
    <x v="286"/>
    <x v="1"/>
    <n v="945"/>
    <x v="1"/>
  </r>
  <r>
    <x v="287"/>
    <x v="0"/>
    <n v="945"/>
    <x v="0"/>
  </r>
  <r>
    <x v="288"/>
    <x v="1"/>
    <n v="945"/>
    <x v="5"/>
  </r>
  <r>
    <x v="289"/>
    <x v="1"/>
    <n v="945"/>
    <x v="6"/>
  </r>
  <r>
    <x v="290"/>
    <x v="2"/>
    <n v="945"/>
    <x v="3"/>
  </r>
  <r>
    <x v="291"/>
    <x v="2"/>
    <n v="945"/>
    <x v="4"/>
  </r>
  <r>
    <x v="292"/>
    <x v="2"/>
    <n v="945"/>
    <x v="2"/>
  </r>
  <r>
    <x v="293"/>
    <x v="1"/>
    <n v="945"/>
    <x v="1"/>
  </r>
  <r>
    <x v="294"/>
    <x v="0"/>
    <n v="945"/>
    <x v="0"/>
  </r>
  <r>
    <x v="295"/>
    <x v="1"/>
    <n v="945"/>
    <x v="5"/>
  </r>
  <r>
    <x v="296"/>
    <x v="1"/>
    <n v="945"/>
    <x v="6"/>
  </r>
  <r>
    <x v="297"/>
    <x v="2"/>
    <n v="945"/>
    <x v="3"/>
  </r>
  <r>
    <x v="298"/>
    <x v="2"/>
    <n v="945"/>
    <x v="4"/>
  </r>
  <r>
    <x v="299"/>
    <x v="2"/>
    <n v="945"/>
    <x v="2"/>
  </r>
  <r>
    <x v="300"/>
    <x v="1"/>
    <n v="945"/>
    <x v="1"/>
  </r>
  <r>
    <x v="301"/>
    <x v="0"/>
    <n v="945"/>
    <x v="0"/>
  </r>
  <r>
    <x v="302"/>
    <x v="1"/>
    <n v="945"/>
    <x v="5"/>
  </r>
  <r>
    <x v="303"/>
    <x v="1"/>
    <n v="945"/>
    <x v="6"/>
  </r>
  <r>
    <x v="304"/>
    <x v="2"/>
    <n v="945"/>
    <x v="3"/>
  </r>
  <r>
    <x v="305"/>
    <x v="2"/>
    <n v="945"/>
    <x v="4"/>
  </r>
  <r>
    <x v="306"/>
    <x v="2"/>
    <n v="945"/>
    <x v="2"/>
  </r>
  <r>
    <x v="307"/>
    <x v="1"/>
    <n v="945"/>
    <x v="1"/>
  </r>
  <r>
    <x v="308"/>
    <x v="0"/>
    <n v="945"/>
    <x v="0"/>
  </r>
  <r>
    <x v="309"/>
    <x v="1"/>
    <n v="945"/>
    <x v="5"/>
  </r>
  <r>
    <x v="310"/>
    <x v="1"/>
    <n v="945"/>
    <x v="6"/>
  </r>
  <r>
    <x v="311"/>
    <x v="2"/>
    <n v="945"/>
    <x v="3"/>
  </r>
  <r>
    <x v="312"/>
    <x v="2"/>
    <n v="945"/>
    <x v="4"/>
  </r>
  <r>
    <x v="313"/>
    <x v="2"/>
    <n v="945"/>
    <x v="2"/>
  </r>
  <r>
    <x v="314"/>
    <x v="1"/>
    <n v="945"/>
    <x v="1"/>
  </r>
  <r>
    <x v="315"/>
    <x v="0"/>
    <n v="945"/>
    <x v="0"/>
  </r>
  <r>
    <x v="316"/>
    <x v="1"/>
    <n v="945"/>
    <x v="5"/>
  </r>
  <r>
    <x v="317"/>
    <x v="1"/>
    <n v="945"/>
    <x v="6"/>
  </r>
  <r>
    <x v="318"/>
    <x v="2"/>
    <n v="945"/>
    <x v="3"/>
  </r>
  <r>
    <x v="319"/>
    <x v="2"/>
    <n v="945"/>
    <x v="4"/>
  </r>
  <r>
    <x v="320"/>
    <x v="2"/>
    <n v="945"/>
    <x v="2"/>
  </r>
  <r>
    <x v="321"/>
    <x v="1"/>
    <n v="945"/>
    <x v="1"/>
  </r>
  <r>
    <x v="322"/>
    <x v="0"/>
    <n v="945"/>
    <x v="0"/>
  </r>
  <r>
    <x v="323"/>
    <x v="1"/>
    <n v="945"/>
    <x v="5"/>
  </r>
  <r>
    <x v="324"/>
    <x v="1"/>
    <n v="945"/>
    <x v="6"/>
  </r>
  <r>
    <x v="325"/>
    <x v="2"/>
    <n v="945"/>
    <x v="3"/>
  </r>
  <r>
    <x v="326"/>
    <x v="2"/>
    <n v="945"/>
    <x v="4"/>
  </r>
  <r>
    <x v="327"/>
    <x v="2"/>
    <n v="945"/>
    <x v="2"/>
  </r>
  <r>
    <x v="328"/>
    <x v="1"/>
    <n v="945"/>
    <x v="1"/>
  </r>
  <r>
    <x v="329"/>
    <x v="0"/>
    <n v="945"/>
    <x v="0"/>
  </r>
  <r>
    <x v="330"/>
    <x v="1"/>
    <n v="945"/>
    <x v="5"/>
  </r>
  <r>
    <x v="331"/>
    <x v="1"/>
    <n v="945"/>
    <x v="6"/>
  </r>
  <r>
    <x v="332"/>
    <x v="2"/>
    <n v="945"/>
    <x v="3"/>
  </r>
  <r>
    <x v="333"/>
    <x v="2"/>
    <n v="945"/>
    <x v="4"/>
  </r>
  <r>
    <x v="334"/>
    <x v="2"/>
    <n v="945"/>
    <x v="2"/>
  </r>
  <r>
    <x v="335"/>
    <x v="1"/>
    <n v="945"/>
    <x v="1"/>
  </r>
  <r>
    <x v="336"/>
    <x v="0"/>
    <n v="945"/>
    <x v="0"/>
  </r>
  <r>
    <x v="337"/>
    <x v="1"/>
    <n v="945"/>
    <x v="5"/>
  </r>
  <r>
    <x v="338"/>
    <x v="1"/>
    <n v="945"/>
    <x v="6"/>
  </r>
  <r>
    <x v="339"/>
    <x v="2"/>
    <n v="945"/>
    <x v="3"/>
  </r>
  <r>
    <x v="340"/>
    <x v="2"/>
    <n v="945"/>
    <x v="4"/>
  </r>
  <r>
    <x v="341"/>
    <x v="2"/>
    <n v="945"/>
    <x v="2"/>
  </r>
  <r>
    <x v="342"/>
    <x v="1"/>
    <n v="945"/>
    <x v="1"/>
  </r>
  <r>
    <x v="343"/>
    <x v="0"/>
    <n v="945"/>
    <x v="0"/>
  </r>
  <r>
    <x v="344"/>
    <x v="1"/>
    <n v="945"/>
    <x v="5"/>
  </r>
  <r>
    <x v="345"/>
    <x v="1"/>
    <n v="945"/>
    <x v="6"/>
  </r>
  <r>
    <x v="346"/>
    <x v="2"/>
    <n v="945"/>
    <x v="3"/>
  </r>
  <r>
    <x v="347"/>
    <x v="2"/>
    <n v="945"/>
    <x v="4"/>
  </r>
  <r>
    <x v="348"/>
    <x v="2"/>
    <n v="945"/>
    <x v="2"/>
  </r>
  <r>
    <x v="349"/>
    <x v="1"/>
    <n v="945"/>
    <x v="1"/>
  </r>
  <r>
    <x v="350"/>
    <x v="0"/>
    <n v="945"/>
    <x v="0"/>
  </r>
  <r>
    <x v="351"/>
    <x v="1"/>
    <n v="945"/>
    <x v="5"/>
  </r>
  <r>
    <x v="352"/>
    <x v="1"/>
    <n v="945"/>
    <x v="6"/>
  </r>
  <r>
    <x v="353"/>
    <x v="2"/>
    <n v="945"/>
    <x v="3"/>
  </r>
  <r>
    <x v="354"/>
    <x v="2"/>
    <n v="945"/>
    <x v="4"/>
  </r>
  <r>
    <x v="355"/>
    <x v="2"/>
    <n v="945"/>
    <x v="2"/>
  </r>
  <r>
    <x v="356"/>
    <x v="1"/>
    <n v="945"/>
    <x v="1"/>
  </r>
  <r>
    <x v="357"/>
    <x v="0"/>
    <n v="945"/>
    <x v="0"/>
  </r>
  <r>
    <x v="358"/>
    <x v="1"/>
    <n v="94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B4635-8835-436B-9B5C-DA5C6EA72B76}" name="Зведена таблиця1" cacheId="9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outline="1" outlineData="1" multipleFieldFilters="0" chartFormat="1">
  <location ref="A3:Q21" firstHeaderRow="1" firstDataRow="3" firstDataCol="1"/>
  <pivotFields count="7">
    <pivotField axis="axisRow" numFmtId="1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axis="axisCol" showAll="0">
      <items count="8">
        <item x="1"/>
        <item x="0"/>
        <item x="3"/>
        <item x="6"/>
        <item x="2"/>
        <item x="4"/>
        <item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dragToRow="0" dragToCol="0" dragToPage="0" showAll="0" defaultSubtotal="0"/>
  </pivotFields>
  <rowFields count="3">
    <field x="5"/>
    <field x="0"/>
    <field x="1"/>
  </rowFields>
  <rowItems count="16">
    <i>
      <x v="1"/>
    </i>
    <i r="1">
      <x v="6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2">
    <field x="3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Загальна сума" fld="2" baseField="1" baseItem="1"/>
    <dataField name="Сума з Поле1" fld="6" baseField="0" baseItem="0" numFmtId="14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opLeftCell="A28" workbookViewId="0">
      <selection activeCell="P16" sqref="P16"/>
    </sheetView>
  </sheetViews>
  <sheetFormatPr defaultColWidth="8.7109375" defaultRowHeight="12"/>
  <cols>
    <col min="1" max="1" width="13.42578125" style="19" customWidth="1"/>
    <col min="2" max="2" width="17.42578125" style="19" customWidth="1"/>
    <col min="3" max="3" width="12.85546875" style="19" customWidth="1"/>
    <col min="4" max="4" width="8.7109375" style="19"/>
    <col min="5" max="5" width="12.5703125" style="19" customWidth="1"/>
    <col min="6" max="6" width="8.7109375" style="19"/>
    <col min="7" max="7" width="9.42578125" style="19" bestFit="1" customWidth="1"/>
    <col min="8" max="9" width="8.85546875" style="19" bestFit="1" customWidth="1"/>
    <col min="10" max="10" width="8.7109375" style="19"/>
    <col min="11" max="11" width="11" style="19" customWidth="1"/>
    <col min="12" max="12" width="8.7109375" style="19"/>
    <col min="13" max="13" width="13" style="19" customWidth="1"/>
    <col min="14" max="16384" width="8.7109375" style="19"/>
  </cols>
  <sheetData>
    <row r="1" spans="1:13" ht="24">
      <c r="A1" s="43" t="s">
        <v>109</v>
      </c>
      <c r="B1" s="43" t="s">
        <v>110</v>
      </c>
      <c r="C1" s="43" t="s">
        <v>111</v>
      </c>
      <c r="D1" s="43" t="s">
        <v>0</v>
      </c>
      <c r="E1" s="44" t="s">
        <v>112</v>
      </c>
      <c r="F1" s="43" t="s">
        <v>113</v>
      </c>
      <c r="G1" s="43" t="s">
        <v>1</v>
      </c>
      <c r="H1" s="44" t="s">
        <v>114</v>
      </c>
      <c r="I1" s="43" t="s">
        <v>252</v>
      </c>
      <c r="J1" s="43" t="s">
        <v>377</v>
      </c>
      <c r="K1" s="43" t="s">
        <v>378</v>
      </c>
      <c r="L1" s="43" t="s">
        <v>379</v>
      </c>
      <c r="M1" s="43" t="s">
        <v>380</v>
      </c>
    </row>
    <row r="2" spans="1:13">
      <c r="A2" s="23" t="s">
        <v>2</v>
      </c>
      <c r="B2" s="23" t="s">
        <v>3</v>
      </c>
      <c r="C2" s="23" t="s">
        <v>120</v>
      </c>
      <c r="D2" s="23" t="s">
        <v>4</v>
      </c>
      <c r="E2" s="40">
        <v>28994</v>
      </c>
      <c r="F2" s="23" t="s">
        <v>5</v>
      </c>
      <c r="G2" s="41">
        <v>5440</v>
      </c>
      <c r="H2" s="23">
        <v>0</v>
      </c>
      <c r="I2" s="42">
        <v>9</v>
      </c>
      <c r="J2" s="25">
        <f>IF(H2&lt;=1, 111, IF(H2&lt;=3, 278, 454))</f>
        <v>111</v>
      </c>
      <c r="K2" s="53">
        <f>(G2 * 0.87) + J2</f>
        <v>4843.8</v>
      </c>
      <c r="L2" s="25">
        <f>IF(I2 &gt; 10, G2 * 0.3, 250)</f>
        <v>250</v>
      </c>
      <c r="M2" s="54">
        <f>YEAR(E2)</f>
        <v>1979</v>
      </c>
    </row>
    <row r="3" spans="1:13">
      <c r="A3" s="23" t="s">
        <v>6</v>
      </c>
      <c r="B3" s="23" t="s">
        <v>7</v>
      </c>
      <c r="C3" s="23" t="s">
        <v>8</v>
      </c>
      <c r="D3" s="23" t="s">
        <v>9</v>
      </c>
      <c r="E3" s="40">
        <v>28010</v>
      </c>
      <c r="F3" s="23" t="s">
        <v>10</v>
      </c>
      <c r="G3" s="41">
        <v>1514</v>
      </c>
      <c r="H3" s="23">
        <v>0</v>
      </c>
      <c r="I3" s="42">
        <v>22</v>
      </c>
      <c r="J3" s="25">
        <f t="shared" ref="J3:J66" si="0">IF(H3&lt;=1, 111, IF(H3&lt;=3, 278, 454))</f>
        <v>111</v>
      </c>
      <c r="K3" s="53">
        <f t="shared" ref="K3:K66" si="1">(G3 * 0.87) + J3</f>
        <v>1428.18</v>
      </c>
      <c r="L3" s="25">
        <f t="shared" ref="L3:L66" si="2">IF(I3 &gt; 10, G3 * 0.3, 250)</f>
        <v>454.2</v>
      </c>
      <c r="M3" s="54">
        <f t="shared" ref="M3:M66" si="3">YEAR(E3)</f>
        <v>1976</v>
      </c>
    </row>
    <row r="4" spans="1:13">
      <c r="A4" s="23" t="s">
        <v>11</v>
      </c>
      <c r="B4" s="23" t="s">
        <v>121</v>
      </c>
      <c r="C4" s="23" t="s">
        <v>122</v>
      </c>
      <c r="D4" s="23" t="s">
        <v>4</v>
      </c>
      <c r="E4" s="40">
        <v>26504</v>
      </c>
      <c r="F4" s="23" t="s">
        <v>13</v>
      </c>
      <c r="G4" s="41">
        <v>1800</v>
      </c>
      <c r="H4" s="23">
        <v>1</v>
      </c>
      <c r="I4" s="42">
        <v>11</v>
      </c>
      <c r="J4" s="25">
        <f t="shared" si="0"/>
        <v>111</v>
      </c>
      <c r="K4" s="53">
        <f t="shared" si="1"/>
        <v>1677</v>
      </c>
      <c r="L4" s="25">
        <f t="shared" si="2"/>
        <v>540</v>
      </c>
      <c r="M4" s="54">
        <f t="shared" si="3"/>
        <v>1972</v>
      </c>
    </row>
    <row r="5" spans="1:13">
      <c r="A5" s="23" t="s">
        <v>123</v>
      </c>
      <c r="B5" s="23" t="s">
        <v>115</v>
      </c>
      <c r="C5" s="23" t="s">
        <v>15</v>
      </c>
      <c r="D5" s="23" t="s">
        <v>9</v>
      </c>
      <c r="E5" s="40">
        <v>26452</v>
      </c>
      <c r="F5" s="23" t="s">
        <v>13</v>
      </c>
      <c r="G5" s="41">
        <v>2070</v>
      </c>
      <c r="H5" s="23">
        <v>1</v>
      </c>
      <c r="I5" s="42">
        <v>9</v>
      </c>
      <c r="J5" s="25">
        <f t="shared" si="0"/>
        <v>111</v>
      </c>
      <c r="K5" s="53">
        <f t="shared" si="1"/>
        <v>1911.9</v>
      </c>
      <c r="L5" s="25">
        <f t="shared" si="2"/>
        <v>250</v>
      </c>
      <c r="M5" s="54">
        <f t="shared" si="3"/>
        <v>1972</v>
      </c>
    </row>
    <row r="6" spans="1:13">
      <c r="A6" s="23" t="s">
        <v>124</v>
      </c>
      <c r="B6" s="23" t="s">
        <v>116</v>
      </c>
      <c r="C6" s="23" t="s">
        <v>125</v>
      </c>
      <c r="D6" s="23" t="s">
        <v>9</v>
      </c>
      <c r="E6" s="40">
        <v>26065</v>
      </c>
      <c r="F6" s="23" t="s">
        <v>18</v>
      </c>
      <c r="G6" s="41">
        <v>4000</v>
      </c>
      <c r="H6" s="23">
        <v>2</v>
      </c>
      <c r="I6" s="42">
        <v>18</v>
      </c>
      <c r="J6" s="25">
        <f t="shared" si="0"/>
        <v>278</v>
      </c>
      <c r="K6" s="53">
        <f t="shared" si="1"/>
        <v>3758</v>
      </c>
      <c r="L6" s="25">
        <f t="shared" si="2"/>
        <v>1200</v>
      </c>
      <c r="M6" s="54">
        <f t="shared" si="3"/>
        <v>1971</v>
      </c>
    </row>
    <row r="7" spans="1:13">
      <c r="A7" s="23" t="s">
        <v>19</v>
      </c>
      <c r="B7" s="23" t="s">
        <v>3</v>
      </c>
      <c r="C7" s="23" t="s">
        <v>126</v>
      </c>
      <c r="D7" s="23" t="s">
        <v>4</v>
      </c>
      <c r="E7" s="40">
        <v>25936</v>
      </c>
      <c r="F7" s="23" t="s">
        <v>18</v>
      </c>
      <c r="G7" s="41">
        <v>5750</v>
      </c>
      <c r="H7" s="23">
        <v>1</v>
      </c>
      <c r="I7" s="42">
        <v>12</v>
      </c>
      <c r="J7" s="25">
        <f t="shared" si="0"/>
        <v>111</v>
      </c>
      <c r="K7" s="53">
        <f t="shared" si="1"/>
        <v>5113.5</v>
      </c>
      <c r="L7" s="25">
        <f t="shared" si="2"/>
        <v>1725</v>
      </c>
      <c r="M7" s="54">
        <f t="shared" si="3"/>
        <v>1971</v>
      </c>
    </row>
    <row r="8" spans="1:13">
      <c r="A8" s="23" t="s">
        <v>20</v>
      </c>
      <c r="B8" s="23" t="s">
        <v>117</v>
      </c>
      <c r="C8" s="23" t="s">
        <v>122</v>
      </c>
      <c r="D8" s="23" t="s">
        <v>4</v>
      </c>
      <c r="E8" s="40">
        <v>25538</v>
      </c>
      <c r="F8" s="23" t="s">
        <v>18</v>
      </c>
      <c r="G8" s="41">
        <v>8500</v>
      </c>
      <c r="H8" s="23">
        <v>1</v>
      </c>
      <c r="I8" s="42">
        <v>16</v>
      </c>
      <c r="J8" s="25">
        <f t="shared" si="0"/>
        <v>111</v>
      </c>
      <c r="K8" s="53">
        <f t="shared" si="1"/>
        <v>7506</v>
      </c>
      <c r="L8" s="25">
        <f t="shared" si="2"/>
        <v>2550</v>
      </c>
      <c r="M8" s="54">
        <f t="shared" si="3"/>
        <v>1969</v>
      </c>
    </row>
    <row r="9" spans="1:13">
      <c r="A9" s="23" t="s">
        <v>21</v>
      </c>
      <c r="B9" s="23" t="s">
        <v>22</v>
      </c>
      <c r="C9" s="23" t="s">
        <v>127</v>
      </c>
      <c r="D9" s="23" t="s">
        <v>9</v>
      </c>
      <c r="E9" s="40">
        <v>25013</v>
      </c>
      <c r="F9" s="23" t="s">
        <v>10</v>
      </c>
      <c r="G9" s="41">
        <v>3600</v>
      </c>
      <c r="H9" s="23">
        <v>0</v>
      </c>
      <c r="I9" s="42">
        <v>5</v>
      </c>
      <c r="J9" s="25">
        <f t="shared" si="0"/>
        <v>111</v>
      </c>
      <c r="K9" s="53">
        <f t="shared" si="1"/>
        <v>3243</v>
      </c>
      <c r="L9" s="25">
        <f t="shared" si="2"/>
        <v>250</v>
      </c>
      <c r="M9" s="54">
        <f t="shared" si="3"/>
        <v>1968</v>
      </c>
    </row>
    <row r="10" spans="1:13">
      <c r="A10" s="23" t="s">
        <v>23</v>
      </c>
      <c r="B10" s="23" t="s">
        <v>24</v>
      </c>
      <c r="C10" s="23" t="s">
        <v>128</v>
      </c>
      <c r="D10" s="23" t="s">
        <v>4</v>
      </c>
      <c r="E10" s="40">
        <v>24957</v>
      </c>
      <c r="F10" s="23" t="s">
        <v>13</v>
      </c>
      <c r="G10" s="41">
        <v>3060</v>
      </c>
      <c r="H10" s="23">
        <v>4</v>
      </c>
      <c r="I10" s="42">
        <v>4</v>
      </c>
      <c r="J10" s="25">
        <f t="shared" si="0"/>
        <v>454</v>
      </c>
      <c r="K10" s="53">
        <f t="shared" si="1"/>
        <v>3116.2</v>
      </c>
      <c r="L10" s="25">
        <f t="shared" si="2"/>
        <v>250</v>
      </c>
      <c r="M10" s="54">
        <f t="shared" si="3"/>
        <v>1968</v>
      </c>
    </row>
    <row r="11" spans="1:13">
      <c r="A11" s="23" t="s">
        <v>25</v>
      </c>
      <c r="B11" s="23" t="s">
        <v>129</v>
      </c>
      <c r="C11" s="23" t="s">
        <v>26</v>
      </c>
      <c r="D11" s="23" t="s">
        <v>9</v>
      </c>
      <c r="E11" s="40">
        <v>24714</v>
      </c>
      <c r="F11" s="23" t="s">
        <v>5</v>
      </c>
      <c r="G11" s="41">
        <v>7360</v>
      </c>
      <c r="H11" s="23">
        <v>1</v>
      </c>
      <c r="I11" s="42">
        <v>21</v>
      </c>
      <c r="J11" s="25">
        <f t="shared" si="0"/>
        <v>111</v>
      </c>
      <c r="K11" s="53">
        <f t="shared" si="1"/>
        <v>6514.2</v>
      </c>
      <c r="L11" s="25">
        <f t="shared" si="2"/>
        <v>2208</v>
      </c>
      <c r="M11" s="54">
        <f t="shared" si="3"/>
        <v>1967</v>
      </c>
    </row>
    <row r="12" spans="1:13">
      <c r="A12" s="23" t="s">
        <v>27</v>
      </c>
      <c r="B12" s="23" t="s">
        <v>22</v>
      </c>
      <c r="C12" s="23" t="s">
        <v>28</v>
      </c>
      <c r="D12" s="23" t="s">
        <v>9</v>
      </c>
      <c r="E12" s="40">
        <v>24630</v>
      </c>
      <c r="F12" s="23" t="s">
        <v>10</v>
      </c>
      <c r="G12" s="41">
        <v>3000</v>
      </c>
      <c r="H12" s="23">
        <v>0</v>
      </c>
      <c r="I12" s="42">
        <v>10</v>
      </c>
      <c r="J12" s="25">
        <f t="shared" si="0"/>
        <v>111</v>
      </c>
      <c r="K12" s="53">
        <f t="shared" si="1"/>
        <v>2721</v>
      </c>
      <c r="L12" s="25">
        <f t="shared" si="2"/>
        <v>250</v>
      </c>
      <c r="M12" s="54">
        <f t="shared" si="3"/>
        <v>1967</v>
      </c>
    </row>
    <row r="13" spans="1:13">
      <c r="A13" s="23" t="s">
        <v>29</v>
      </c>
      <c r="B13" s="23" t="s">
        <v>30</v>
      </c>
      <c r="C13" s="23" t="s">
        <v>26</v>
      </c>
      <c r="D13" s="23" t="s">
        <v>9</v>
      </c>
      <c r="E13" s="40">
        <v>24033</v>
      </c>
      <c r="F13" s="23" t="s">
        <v>13</v>
      </c>
      <c r="G13" s="41">
        <v>905</v>
      </c>
      <c r="H13" s="23">
        <v>0</v>
      </c>
      <c r="I13" s="42">
        <v>14</v>
      </c>
      <c r="J13" s="25">
        <f t="shared" si="0"/>
        <v>111</v>
      </c>
      <c r="K13" s="53">
        <f t="shared" si="1"/>
        <v>898.35</v>
      </c>
      <c r="L13" s="25">
        <f t="shared" si="2"/>
        <v>271.5</v>
      </c>
      <c r="M13" s="54">
        <f t="shared" si="3"/>
        <v>1965</v>
      </c>
    </row>
    <row r="14" spans="1:13">
      <c r="A14" s="23" t="s">
        <v>31</v>
      </c>
      <c r="B14" s="23" t="s">
        <v>129</v>
      </c>
      <c r="C14" s="23" t="s">
        <v>32</v>
      </c>
      <c r="D14" s="23" t="s">
        <v>9</v>
      </c>
      <c r="E14" s="40">
        <v>23370</v>
      </c>
      <c r="F14" s="23" t="s">
        <v>13</v>
      </c>
      <c r="G14" s="41">
        <v>2070</v>
      </c>
      <c r="H14" s="23">
        <v>1</v>
      </c>
      <c r="I14" s="42">
        <v>11</v>
      </c>
      <c r="J14" s="25">
        <f t="shared" si="0"/>
        <v>111</v>
      </c>
      <c r="K14" s="53">
        <f t="shared" si="1"/>
        <v>1911.9</v>
      </c>
      <c r="L14" s="25">
        <f t="shared" si="2"/>
        <v>621</v>
      </c>
      <c r="M14" s="54">
        <f t="shared" si="3"/>
        <v>1963</v>
      </c>
    </row>
    <row r="15" spans="1:13">
      <c r="A15" s="23" t="s">
        <v>33</v>
      </c>
      <c r="B15" s="23" t="s">
        <v>143</v>
      </c>
      <c r="C15" s="23" t="s">
        <v>131</v>
      </c>
      <c r="D15" s="23" t="s">
        <v>9</v>
      </c>
      <c r="E15" s="40">
        <v>23091</v>
      </c>
      <c r="F15" s="23" t="s">
        <v>18</v>
      </c>
      <c r="G15" s="41">
        <v>5750</v>
      </c>
      <c r="H15" s="23">
        <v>1</v>
      </c>
      <c r="I15" s="42">
        <v>19</v>
      </c>
      <c r="J15" s="25">
        <f t="shared" si="0"/>
        <v>111</v>
      </c>
      <c r="K15" s="53">
        <f t="shared" si="1"/>
        <v>5113.5</v>
      </c>
      <c r="L15" s="25">
        <f t="shared" si="2"/>
        <v>1725</v>
      </c>
      <c r="M15" s="54">
        <f t="shared" si="3"/>
        <v>1963</v>
      </c>
    </row>
    <row r="16" spans="1:13">
      <c r="A16" s="23" t="s">
        <v>34</v>
      </c>
      <c r="B16" s="23" t="s">
        <v>143</v>
      </c>
      <c r="C16" s="23" t="s">
        <v>35</v>
      </c>
      <c r="D16" s="23" t="s">
        <v>9</v>
      </c>
      <c r="E16" s="40">
        <v>23048</v>
      </c>
      <c r="F16" s="23" t="s">
        <v>10</v>
      </c>
      <c r="G16" s="41">
        <v>3450</v>
      </c>
      <c r="H16" s="23">
        <v>2</v>
      </c>
      <c r="I16" s="42">
        <v>13</v>
      </c>
      <c r="J16" s="25">
        <f t="shared" si="0"/>
        <v>278</v>
      </c>
      <c r="K16" s="53">
        <f t="shared" si="1"/>
        <v>3279.5</v>
      </c>
      <c r="L16" s="25">
        <f t="shared" si="2"/>
        <v>1035</v>
      </c>
      <c r="M16" s="54">
        <f t="shared" si="3"/>
        <v>1963</v>
      </c>
    </row>
    <row r="17" spans="1:13">
      <c r="A17" s="23" t="s">
        <v>36</v>
      </c>
      <c r="B17" s="23" t="s">
        <v>7</v>
      </c>
      <c r="C17" s="23" t="s">
        <v>132</v>
      </c>
      <c r="D17" s="23" t="s">
        <v>9</v>
      </c>
      <c r="E17" s="40">
        <v>22803</v>
      </c>
      <c r="F17" s="23" t="s">
        <v>10</v>
      </c>
      <c r="G17" s="41">
        <v>2550</v>
      </c>
      <c r="H17" s="23">
        <v>1</v>
      </c>
      <c r="I17" s="42">
        <v>2</v>
      </c>
      <c r="J17" s="25">
        <f t="shared" si="0"/>
        <v>111</v>
      </c>
      <c r="K17" s="53">
        <f t="shared" si="1"/>
        <v>2329.5</v>
      </c>
      <c r="L17" s="25">
        <f t="shared" si="2"/>
        <v>250</v>
      </c>
      <c r="M17" s="54">
        <f t="shared" si="3"/>
        <v>1962</v>
      </c>
    </row>
    <row r="18" spans="1:13">
      <c r="A18" s="23" t="s">
        <v>38</v>
      </c>
      <c r="B18" s="23" t="s">
        <v>143</v>
      </c>
      <c r="C18" s="23" t="s">
        <v>130</v>
      </c>
      <c r="D18" s="23" t="s">
        <v>9</v>
      </c>
      <c r="E18" s="40">
        <v>22696</v>
      </c>
      <c r="F18" s="23" t="s">
        <v>5</v>
      </c>
      <c r="G18" s="41">
        <v>7360</v>
      </c>
      <c r="H18" s="23">
        <v>3</v>
      </c>
      <c r="I18" s="42">
        <v>3</v>
      </c>
      <c r="J18" s="25">
        <f t="shared" si="0"/>
        <v>278</v>
      </c>
      <c r="K18" s="53">
        <f t="shared" si="1"/>
        <v>6681.2</v>
      </c>
      <c r="L18" s="25">
        <f t="shared" si="2"/>
        <v>250</v>
      </c>
      <c r="M18" s="54">
        <f t="shared" si="3"/>
        <v>1962</v>
      </c>
    </row>
    <row r="19" spans="1:13">
      <c r="A19" s="23" t="s">
        <v>39</v>
      </c>
      <c r="B19" s="23" t="s">
        <v>14</v>
      </c>
      <c r="C19" s="23" t="s">
        <v>32</v>
      </c>
      <c r="D19" s="23" t="s">
        <v>9</v>
      </c>
      <c r="E19" s="40">
        <v>22608</v>
      </c>
      <c r="F19" s="23" t="s">
        <v>13</v>
      </c>
      <c r="G19" s="41">
        <v>2070</v>
      </c>
      <c r="H19" s="23">
        <v>0</v>
      </c>
      <c r="I19" s="42">
        <v>8</v>
      </c>
      <c r="J19" s="25">
        <f t="shared" si="0"/>
        <v>111</v>
      </c>
      <c r="K19" s="53">
        <f t="shared" si="1"/>
        <v>1911.9</v>
      </c>
      <c r="L19" s="25">
        <f t="shared" si="2"/>
        <v>250</v>
      </c>
      <c r="M19" s="54">
        <f t="shared" si="3"/>
        <v>1961</v>
      </c>
    </row>
    <row r="20" spans="1:13">
      <c r="A20" s="23" t="s">
        <v>40</v>
      </c>
      <c r="B20" s="23" t="s">
        <v>30</v>
      </c>
      <c r="C20" s="23" t="s">
        <v>26</v>
      </c>
      <c r="D20" s="23" t="s">
        <v>9</v>
      </c>
      <c r="E20" s="40">
        <v>22127</v>
      </c>
      <c r="F20" s="23" t="s">
        <v>18</v>
      </c>
      <c r="G20" s="41">
        <v>2515</v>
      </c>
      <c r="H20" s="23">
        <v>1</v>
      </c>
      <c r="I20" s="42">
        <v>1</v>
      </c>
      <c r="J20" s="25">
        <f t="shared" si="0"/>
        <v>111</v>
      </c>
      <c r="K20" s="53">
        <f t="shared" si="1"/>
        <v>2299.0500000000002</v>
      </c>
      <c r="L20" s="25">
        <f t="shared" si="2"/>
        <v>250</v>
      </c>
      <c r="M20" s="54">
        <f t="shared" si="3"/>
        <v>1960</v>
      </c>
    </row>
    <row r="21" spans="1:13">
      <c r="A21" s="23" t="s">
        <v>41</v>
      </c>
      <c r="B21" s="23" t="s">
        <v>42</v>
      </c>
      <c r="C21" s="23" t="s">
        <v>133</v>
      </c>
      <c r="D21" s="23" t="s">
        <v>4</v>
      </c>
      <c r="E21" s="40">
        <v>21929</v>
      </c>
      <c r="F21" s="23" t="s">
        <v>18</v>
      </c>
      <c r="G21" s="41">
        <v>5000</v>
      </c>
      <c r="H21" s="23">
        <v>1</v>
      </c>
      <c r="I21" s="42">
        <v>34</v>
      </c>
      <c r="J21" s="25">
        <f t="shared" si="0"/>
        <v>111</v>
      </c>
      <c r="K21" s="53">
        <f t="shared" si="1"/>
        <v>4461</v>
      </c>
      <c r="L21" s="25">
        <f t="shared" si="2"/>
        <v>1500</v>
      </c>
      <c r="M21" s="54">
        <f t="shared" si="3"/>
        <v>1960</v>
      </c>
    </row>
    <row r="22" spans="1:13">
      <c r="A22" s="23" t="s">
        <v>43</v>
      </c>
      <c r="B22" s="23" t="s">
        <v>22</v>
      </c>
      <c r="C22" s="23" t="s">
        <v>32</v>
      </c>
      <c r="D22" s="23" t="s">
        <v>9</v>
      </c>
      <c r="E22" s="40">
        <v>21841</v>
      </c>
      <c r="F22" s="23" t="s">
        <v>13</v>
      </c>
      <c r="G22" s="41">
        <v>3060</v>
      </c>
      <c r="H22" s="23">
        <v>0</v>
      </c>
      <c r="I22" s="42">
        <v>5</v>
      </c>
      <c r="J22" s="25">
        <f t="shared" si="0"/>
        <v>111</v>
      </c>
      <c r="K22" s="53">
        <f t="shared" si="1"/>
        <v>2773.2</v>
      </c>
      <c r="L22" s="25">
        <f t="shared" si="2"/>
        <v>250</v>
      </c>
      <c r="M22" s="54">
        <f t="shared" si="3"/>
        <v>1959</v>
      </c>
    </row>
    <row r="23" spans="1:13">
      <c r="A23" s="23" t="s">
        <v>44</v>
      </c>
      <c r="B23" s="23" t="s">
        <v>143</v>
      </c>
      <c r="C23" s="23" t="s">
        <v>132</v>
      </c>
      <c r="D23" s="23" t="s">
        <v>9</v>
      </c>
      <c r="E23" s="40">
        <v>21450</v>
      </c>
      <c r="F23" s="23" t="s">
        <v>13</v>
      </c>
      <c r="G23" s="41">
        <v>908</v>
      </c>
      <c r="H23" s="23">
        <v>1</v>
      </c>
      <c r="I23" s="42">
        <v>2</v>
      </c>
      <c r="J23" s="25">
        <f t="shared" si="0"/>
        <v>111</v>
      </c>
      <c r="K23" s="53">
        <f t="shared" si="1"/>
        <v>900.96</v>
      </c>
      <c r="L23" s="25">
        <f t="shared" si="2"/>
        <v>250</v>
      </c>
      <c r="M23" s="54">
        <f t="shared" si="3"/>
        <v>1958</v>
      </c>
    </row>
    <row r="24" spans="1:13">
      <c r="A24" s="23" t="s">
        <v>45</v>
      </c>
      <c r="B24" s="23" t="s">
        <v>14</v>
      </c>
      <c r="C24" s="23" t="s">
        <v>131</v>
      </c>
      <c r="D24" s="23" t="s">
        <v>9</v>
      </c>
      <c r="E24" s="40">
        <v>21268</v>
      </c>
      <c r="F24" s="23" t="s">
        <v>13</v>
      </c>
      <c r="G24" s="41">
        <v>2070</v>
      </c>
      <c r="H24" s="23">
        <v>1</v>
      </c>
      <c r="I24" s="42">
        <v>7</v>
      </c>
      <c r="J24" s="25">
        <f t="shared" si="0"/>
        <v>111</v>
      </c>
      <c r="K24" s="53">
        <f t="shared" si="1"/>
        <v>1911.9</v>
      </c>
      <c r="L24" s="25">
        <f t="shared" si="2"/>
        <v>250</v>
      </c>
      <c r="M24" s="54">
        <f t="shared" si="3"/>
        <v>1958</v>
      </c>
    </row>
    <row r="25" spans="1:13">
      <c r="A25" s="23" t="s">
        <v>46</v>
      </c>
      <c r="B25" s="23" t="s">
        <v>143</v>
      </c>
      <c r="C25" s="23" t="s">
        <v>134</v>
      </c>
      <c r="D25" s="23" t="s">
        <v>9</v>
      </c>
      <c r="E25" s="40">
        <v>21250</v>
      </c>
      <c r="F25" s="23" t="s">
        <v>13</v>
      </c>
      <c r="G25" s="41">
        <v>1800</v>
      </c>
      <c r="H25" s="23">
        <v>0</v>
      </c>
      <c r="I25" s="23">
        <v>22</v>
      </c>
      <c r="J25" s="25">
        <f t="shared" si="0"/>
        <v>111</v>
      </c>
      <c r="K25" s="53">
        <f t="shared" si="1"/>
        <v>1677</v>
      </c>
      <c r="L25" s="25">
        <f t="shared" si="2"/>
        <v>540</v>
      </c>
      <c r="M25" s="54">
        <f t="shared" si="3"/>
        <v>1958</v>
      </c>
    </row>
    <row r="26" spans="1:13">
      <c r="A26" s="23" t="s">
        <v>47</v>
      </c>
      <c r="B26" s="23" t="s">
        <v>118</v>
      </c>
      <c r="C26" s="23" t="s">
        <v>122</v>
      </c>
      <c r="D26" s="23" t="s">
        <v>4</v>
      </c>
      <c r="E26" s="40">
        <v>21122</v>
      </c>
      <c r="F26" s="23" t="s">
        <v>10</v>
      </c>
      <c r="G26" s="41">
        <v>3000</v>
      </c>
      <c r="H26" s="23">
        <v>1</v>
      </c>
      <c r="I26" s="23">
        <v>6</v>
      </c>
      <c r="J26" s="25">
        <f t="shared" si="0"/>
        <v>111</v>
      </c>
      <c r="K26" s="53">
        <f t="shared" si="1"/>
        <v>2721</v>
      </c>
      <c r="L26" s="25">
        <f t="shared" si="2"/>
        <v>250</v>
      </c>
      <c r="M26" s="54">
        <f t="shared" si="3"/>
        <v>1957</v>
      </c>
    </row>
    <row r="27" spans="1:13">
      <c r="A27" s="23" t="s">
        <v>49</v>
      </c>
      <c r="B27" s="23" t="s">
        <v>142</v>
      </c>
      <c r="C27" s="23" t="s">
        <v>135</v>
      </c>
      <c r="D27" s="23" t="s">
        <v>9</v>
      </c>
      <c r="E27" s="40">
        <v>21010</v>
      </c>
      <c r="F27" s="23" t="s">
        <v>10</v>
      </c>
      <c r="G27" s="41">
        <v>3450</v>
      </c>
      <c r="H27" s="23">
        <v>0</v>
      </c>
      <c r="I27" s="23">
        <v>8</v>
      </c>
      <c r="J27" s="25">
        <f t="shared" si="0"/>
        <v>111</v>
      </c>
      <c r="K27" s="53">
        <f t="shared" si="1"/>
        <v>3112.5</v>
      </c>
      <c r="L27" s="25">
        <f t="shared" si="2"/>
        <v>250</v>
      </c>
      <c r="M27" s="54">
        <f t="shared" si="3"/>
        <v>1957</v>
      </c>
    </row>
    <row r="28" spans="1:13">
      <c r="A28" s="23" t="s">
        <v>51</v>
      </c>
      <c r="B28" s="23" t="s">
        <v>143</v>
      </c>
      <c r="C28" s="23" t="s">
        <v>135</v>
      </c>
      <c r="D28" s="23" t="s">
        <v>9</v>
      </c>
      <c r="E28" s="40">
        <v>20880</v>
      </c>
      <c r="F28" s="23" t="s">
        <v>13</v>
      </c>
      <c r="G28" s="41">
        <v>2160</v>
      </c>
      <c r="H28" s="23">
        <v>1</v>
      </c>
      <c r="I28" s="23">
        <v>12</v>
      </c>
      <c r="J28" s="25">
        <f t="shared" si="0"/>
        <v>111</v>
      </c>
      <c r="K28" s="53">
        <f t="shared" si="1"/>
        <v>1990.2</v>
      </c>
      <c r="L28" s="25">
        <f t="shared" si="2"/>
        <v>648</v>
      </c>
      <c r="M28" s="54">
        <f t="shared" si="3"/>
        <v>1957</v>
      </c>
    </row>
    <row r="29" spans="1:13">
      <c r="A29" s="23" t="s">
        <v>52</v>
      </c>
      <c r="B29" s="23" t="s">
        <v>53</v>
      </c>
      <c r="C29" s="23" t="s">
        <v>136</v>
      </c>
      <c r="D29" s="23" t="s">
        <v>9</v>
      </c>
      <c r="E29" s="40">
        <v>20616</v>
      </c>
      <c r="F29" s="23" t="s">
        <v>13</v>
      </c>
      <c r="G29" s="41">
        <v>3060</v>
      </c>
      <c r="H29" s="23">
        <v>0</v>
      </c>
      <c r="I29" s="23">
        <v>14</v>
      </c>
      <c r="J29" s="25">
        <f t="shared" si="0"/>
        <v>111</v>
      </c>
      <c r="K29" s="53">
        <f t="shared" si="1"/>
        <v>2773.2</v>
      </c>
      <c r="L29" s="25">
        <f t="shared" si="2"/>
        <v>918</v>
      </c>
      <c r="M29" s="54">
        <f t="shared" si="3"/>
        <v>1956</v>
      </c>
    </row>
    <row r="30" spans="1:13">
      <c r="A30" s="23" t="s">
        <v>55</v>
      </c>
      <c r="B30" s="23" t="s">
        <v>143</v>
      </c>
      <c r="C30" s="23" t="s">
        <v>131</v>
      </c>
      <c r="D30" s="23" t="s">
        <v>9</v>
      </c>
      <c r="E30" s="40">
        <v>20613</v>
      </c>
      <c r="F30" s="23" t="s">
        <v>18</v>
      </c>
      <c r="G30" s="41">
        <v>5000</v>
      </c>
      <c r="H30" s="23">
        <v>0</v>
      </c>
      <c r="I30" s="23">
        <v>3</v>
      </c>
      <c r="J30" s="25">
        <f t="shared" si="0"/>
        <v>111</v>
      </c>
      <c r="K30" s="53">
        <f t="shared" si="1"/>
        <v>4461</v>
      </c>
      <c r="L30" s="25">
        <f t="shared" si="2"/>
        <v>250</v>
      </c>
      <c r="M30" s="54">
        <f t="shared" si="3"/>
        <v>1956</v>
      </c>
    </row>
    <row r="31" spans="1:13">
      <c r="A31" s="23" t="s">
        <v>56</v>
      </c>
      <c r="B31" s="23" t="s">
        <v>119</v>
      </c>
      <c r="C31" s="23" t="s">
        <v>137</v>
      </c>
      <c r="D31" s="23" t="s">
        <v>9</v>
      </c>
      <c r="E31" s="40">
        <v>20602</v>
      </c>
      <c r="F31" s="23" t="s">
        <v>13</v>
      </c>
      <c r="G31" s="41">
        <v>1800</v>
      </c>
      <c r="H31" s="23">
        <v>2</v>
      </c>
      <c r="I31" s="23">
        <v>5</v>
      </c>
      <c r="J31" s="25">
        <f t="shared" si="0"/>
        <v>278</v>
      </c>
      <c r="K31" s="53">
        <f t="shared" si="1"/>
        <v>1844</v>
      </c>
      <c r="L31" s="25">
        <f t="shared" si="2"/>
        <v>250</v>
      </c>
      <c r="M31" s="54">
        <f t="shared" si="3"/>
        <v>1956</v>
      </c>
    </row>
    <row r="32" spans="1:13">
      <c r="A32" s="23" t="s">
        <v>57</v>
      </c>
      <c r="B32" s="23" t="s">
        <v>3</v>
      </c>
      <c r="C32" s="23" t="s">
        <v>120</v>
      </c>
      <c r="D32" s="23" t="s">
        <v>4</v>
      </c>
      <c r="E32" s="40">
        <v>20564</v>
      </c>
      <c r="F32" s="23" t="s">
        <v>10</v>
      </c>
      <c r="G32" s="41">
        <v>2550</v>
      </c>
      <c r="H32" s="23">
        <v>1</v>
      </c>
      <c r="I32" s="23">
        <v>9</v>
      </c>
      <c r="J32" s="25">
        <f t="shared" si="0"/>
        <v>111</v>
      </c>
      <c r="K32" s="53">
        <f t="shared" si="1"/>
        <v>2329.5</v>
      </c>
      <c r="L32" s="25">
        <f t="shared" si="2"/>
        <v>250</v>
      </c>
      <c r="M32" s="54">
        <f t="shared" si="3"/>
        <v>1956</v>
      </c>
    </row>
    <row r="33" spans="1:13">
      <c r="A33" s="23" t="s">
        <v>58</v>
      </c>
      <c r="B33" s="23" t="s">
        <v>22</v>
      </c>
      <c r="C33" s="23" t="s">
        <v>59</v>
      </c>
      <c r="D33" s="23" t="s">
        <v>9</v>
      </c>
      <c r="E33" s="40">
        <v>20339</v>
      </c>
      <c r="F33" s="23" t="s">
        <v>18</v>
      </c>
      <c r="G33" s="41">
        <v>8500</v>
      </c>
      <c r="H33" s="23">
        <v>0</v>
      </c>
      <c r="I33" s="23">
        <v>5</v>
      </c>
      <c r="J33" s="25">
        <f t="shared" si="0"/>
        <v>111</v>
      </c>
      <c r="K33" s="53">
        <f t="shared" si="1"/>
        <v>7506</v>
      </c>
      <c r="L33" s="25">
        <f t="shared" si="2"/>
        <v>250</v>
      </c>
      <c r="M33" s="54">
        <f t="shared" si="3"/>
        <v>1955</v>
      </c>
    </row>
    <row r="34" spans="1:13">
      <c r="A34" s="23" t="s">
        <v>60</v>
      </c>
      <c r="B34" s="23" t="s">
        <v>7</v>
      </c>
      <c r="C34" s="23" t="s">
        <v>50</v>
      </c>
      <c r="D34" s="23" t="s">
        <v>9</v>
      </c>
      <c r="E34" s="40">
        <v>20274</v>
      </c>
      <c r="F34" s="23" t="s">
        <v>10</v>
      </c>
      <c r="G34" s="41">
        <v>3450</v>
      </c>
      <c r="H34" s="23">
        <v>0</v>
      </c>
      <c r="I34" s="23">
        <v>12</v>
      </c>
      <c r="J34" s="25">
        <f t="shared" si="0"/>
        <v>111</v>
      </c>
      <c r="K34" s="53">
        <f t="shared" si="1"/>
        <v>3112.5</v>
      </c>
      <c r="L34" s="25">
        <f t="shared" si="2"/>
        <v>1035</v>
      </c>
      <c r="M34" s="54">
        <f t="shared" si="3"/>
        <v>1955</v>
      </c>
    </row>
    <row r="35" spans="1:13">
      <c r="A35" s="23" t="s">
        <v>61</v>
      </c>
      <c r="B35" s="23" t="s">
        <v>62</v>
      </c>
      <c r="C35" s="23" t="s">
        <v>63</v>
      </c>
      <c r="D35" s="23" t="s">
        <v>4</v>
      </c>
      <c r="E35" s="40">
        <v>20267</v>
      </c>
      <c r="F35" s="23" t="s">
        <v>13</v>
      </c>
      <c r="G35" s="41">
        <v>1800</v>
      </c>
      <c r="H35" s="23">
        <v>2</v>
      </c>
      <c r="I35" s="23">
        <v>11</v>
      </c>
      <c r="J35" s="25">
        <f t="shared" si="0"/>
        <v>278</v>
      </c>
      <c r="K35" s="53">
        <f t="shared" si="1"/>
        <v>1844</v>
      </c>
      <c r="L35" s="25">
        <f t="shared" si="2"/>
        <v>540</v>
      </c>
      <c r="M35" s="54">
        <f t="shared" si="3"/>
        <v>1955</v>
      </c>
    </row>
    <row r="36" spans="1:13">
      <c r="A36" s="23" t="s">
        <v>64</v>
      </c>
      <c r="B36" s="23" t="s">
        <v>142</v>
      </c>
      <c r="C36" s="23" t="s">
        <v>50</v>
      </c>
      <c r="D36" s="23" t="s">
        <v>9</v>
      </c>
      <c r="E36" s="40">
        <v>20156</v>
      </c>
      <c r="F36" s="23" t="s">
        <v>5</v>
      </c>
      <c r="G36" s="41">
        <v>7360</v>
      </c>
      <c r="H36" s="23">
        <v>2</v>
      </c>
      <c r="I36" s="23">
        <v>14</v>
      </c>
      <c r="J36" s="25">
        <f t="shared" si="0"/>
        <v>278</v>
      </c>
      <c r="K36" s="53">
        <f t="shared" si="1"/>
        <v>6681.2</v>
      </c>
      <c r="L36" s="25">
        <f t="shared" si="2"/>
        <v>2208</v>
      </c>
      <c r="M36" s="54">
        <f t="shared" si="3"/>
        <v>1955</v>
      </c>
    </row>
    <row r="37" spans="1:13">
      <c r="A37" s="23" t="s">
        <v>65</v>
      </c>
      <c r="B37" s="23" t="s">
        <v>66</v>
      </c>
      <c r="C37" s="23" t="s">
        <v>54</v>
      </c>
      <c r="D37" s="23" t="s">
        <v>9</v>
      </c>
      <c r="E37" s="40">
        <v>19951</v>
      </c>
      <c r="F37" s="23" t="s">
        <v>5</v>
      </c>
      <c r="G37" s="41">
        <v>5120</v>
      </c>
      <c r="H37" s="23">
        <v>1</v>
      </c>
      <c r="I37" s="23">
        <v>24</v>
      </c>
      <c r="J37" s="25">
        <f t="shared" si="0"/>
        <v>111</v>
      </c>
      <c r="K37" s="53">
        <f t="shared" si="1"/>
        <v>4565.3999999999996</v>
      </c>
      <c r="L37" s="25">
        <f t="shared" si="2"/>
        <v>1536</v>
      </c>
      <c r="M37" s="54">
        <f t="shared" si="3"/>
        <v>1954</v>
      </c>
    </row>
    <row r="38" spans="1:13">
      <c r="A38" s="23" t="s">
        <v>67</v>
      </c>
      <c r="B38" s="23" t="s">
        <v>143</v>
      </c>
      <c r="C38" s="23" t="s">
        <v>17</v>
      </c>
      <c r="D38" s="23" t="s">
        <v>9</v>
      </c>
      <c r="E38" s="40">
        <v>19843</v>
      </c>
      <c r="F38" s="23" t="s">
        <v>5</v>
      </c>
      <c r="G38" s="41">
        <v>10880</v>
      </c>
      <c r="H38" s="23">
        <v>1</v>
      </c>
      <c r="I38" s="23">
        <v>18</v>
      </c>
      <c r="J38" s="25">
        <f t="shared" si="0"/>
        <v>111</v>
      </c>
      <c r="K38" s="53">
        <f t="shared" si="1"/>
        <v>9576.6</v>
      </c>
      <c r="L38" s="25">
        <f t="shared" si="2"/>
        <v>3264</v>
      </c>
      <c r="M38" s="54">
        <f t="shared" si="3"/>
        <v>1954</v>
      </c>
    </row>
    <row r="39" spans="1:13">
      <c r="A39" s="23" t="s">
        <v>68</v>
      </c>
      <c r="B39" s="23" t="s">
        <v>129</v>
      </c>
      <c r="C39" s="23" t="s">
        <v>131</v>
      </c>
      <c r="D39" s="23" t="s">
        <v>9</v>
      </c>
      <c r="E39" s="40">
        <v>19787</v>
      </c>
      <c r="F39" s="23" t="s">
        <v>10</v>
      </c>
      <c r="G39" s="41">
        <v>3450</v>
      </c>
      <c r="H39" s="23">
        <v>0</v>
      </c>
      <c r="I39" s="23">
        <v>22</v>
      </c>
      <c r="J39" s="25">
        <f t="shared" si="0"/>
        <v>111</v>
      </c>
      <c r="K39" s="53">
        <f t="shared" si="1"/>
        <v>3112.5</v>
      </c>
      <c r="L39" s="25">
        <f t="shared" si="2"/>
        <v>1035</v>
      </c>
      <c r="M39" s="54">
        <f t="shared" si="3"/>
        <v>1954</v>
      </c>
    </row>
    <row r="40" spans="1:13">
      <c r="A40" s="23" t="s">
        <v>69</v>
      </c>
      <c r="B40" s="23" t="s">
        <v>62</v>
      </c>
      <c r="C40" s="23" t="s">
        <v>63</v>
      </c>
      <c r="D40" s="23" t="s">
        <v>4</v>
      </c>
      <c r="E40" s="40">
        <v>19778</v>
      </c>
      <c r="F40" s="23" t="s">
        <v>5</v>
      </c>
      <c r="G40" s="41">
        <v>7680</v>
      </c>
      <c r="H40" s="23">
        <v>3</v>
      </c>
      <c r="I40" s="23">
        <v>8</v>
      </c>
      <c r="J40" s="25">
        <f t="shared" si="0"/>
        <v>278</v>
      </c>
      <c r="K40" s="53">
        <f t="shared" si="1"/>
        <v>6959.6</v>
      </c>
      <c r="L40" s="25">
        <f t="shared" si="2"/>
        <v>250</v>
      </c>
      <c r="M40" s="54">
        <f t="shared" si="3"/>
        <v>1954</v>
      </c>
    </row>
    <row r="41" spans="1:13">
      <c r="A41" s="23" t="s">
        <v>70</v>
      </c>
      <c r="B41" s="23" t="s">
        <v>71</v>
      </c>
      <c r="C41" s="23" t="s">
        <v>54</v>
      </c>
      <c r="D41" s="23" t="s">
        <v>9</v>
      </c>
      <c r="E41" s="40">
        <v>19492</v>
      </c>
      <c r="F41" s="23" t="s">
        <v>10</v>
      </c>
      <c r="G41" s="41">
        <v>4650</v>
      </c>
      <c r="H41" s="23">
        <v>0</v>
      </c>
      <c r="I41" s="23">
        <v>19</v>
      </c>
      <c r="J41" s="25">
        <f t="shared" si="0"/>
        <v>111</v>
      </c>
      <c r="K41" s="53">
        <f t="shared" si="1"/>
        <v>4156.5</v>
      </c>
      <c r="L41" s="25">
        <f t="shared" si="2"/>
        <v>1395</v>
      </c>
      <c r="M41" s="54">
        <f t="shared" si="3"/>
        <v>1953</v>
      </c>
    </row>
    <row r="42" spans="1:13">
      <c r="A42" s="23" t="s">
        <v>72</v>
      </c>
      <c r="B42" s="23" t="s">
        <v>12</v>
      </c>
      <c r="C42" s="23" t="s">
        <v>122</v>
      </c>
      <c r="D42" s="23" t="s">
        <v>4</v>
      </c>
      <c r="E42" s="40">
        <v>19488</v>
      </c>
      <c r="F42" s="23" t="s">
        <v>5</v>
      </c>
      <c r="G42" s="41">
        <v>10880</v>
      </c>
      <c r="H42" s="23">
        <v>1</v>
      </c>
      <c r="I42" s="23">
        <v>9</v>
      </c>
      <c r="J42" s="25">
        <f t="shared" si="0"/>
        <v>111</v>
      </c>
      <c r="K42" s="53">
        <f t="shared" si="1"/>
        <v>9576.6</v>
      </c>
      <c r="L42" s="25">
        <f t="shared" si="2"/>
        <v>250</v>
      </c>
      <c r="M42" s="54">
        <f t="shared" si="3"/>
        <v>1953</v>
      </c>
    </row>
    <row r="43" spans="1:13">
      <c r="A43" s="23" t="s">
        <v>73</v>
      </c>
      <c r="B43" s="23" t="s">
        <v>7</v>
      </c>
      <c r="C43" s="23" t="s">
        <v>8</v>
      </c>
      <c r="D43" s="23" t="s">
        <v>9</v>
      </c>
      <c r="E43" s="40">
        <v>19463</v>
      </c>
      <c r="F43" s="23" t="s">
        <v>5</v>
      </c>
      <c r="G43" s="41">
        <v>6400</v>
      </c>
      <c r="H43" s="23">
        <v>0</v>
      </c>
      <c r="I43" s="23">
        <v>17</v>
      </c>
      <c r="J43" s="25">
        <f t="shared" si="0"/>
        <v>111</v>
      </c>
      <c r="K43" s="53">
        <f t="shared" si="1"/>
        <v>5679</v>
      </c>
      <c r="L43" s="25">
        <f t="shared" si="2"/>
        <v>1920</v>
      </c>
      <c r="M43" s="54">
        <f t="shared" si="3"/>
        <v>1953</v>
      </c>
    </row>
    <row r="44" spans="1:13">
      <c r="A44" s="23" t="s">
        <v>74</v>
      </c>
      <c r="B44" s="23" t="s">
        <v>75</v>
      </c>
      <c r="C44" s="23" t="s">
        <v>138</v>
      </c>
      <c r="D44" s="23" t="s">
        <v>9</v>
      </c>
      <c r="E44" s="40">
        <v>19189</v>
      </c>
      <c r="F44" s="23" t="s">
        <v>10</v>
      </c>
      <c r="G44" s="41">
        <v>2400</v>
      </c>
      <c r="H44" s="23">
        <v>1</v>
      </c>
      <c r="I44" s="23">
        <v>4</v>
      </c>
      <c r="J44" s="25">
        <f t="shared" si="0"/>
        <v>111</v>
      </c>
      <c r="K44" s="53">
        <f t="shared" si="1"/>
        <v>2199</v>
      </c>
      <c r="L44" s="25">
        <f t="shared" si="2"/>
        <v>250</v>
      </c>
      <c r="M44" s="54">
        <f t="shared" si="3"/>
        <v>1952</v>
      </c>
    </row>
    <row r="45" spans="1:13">
      <c r="A45" s="23" t="s">
        <v>76</v>
      </c>
      <c r="B45" s="23" t="s">
        <v>7</v>
      </c>
      <c r="C45" s="23" t="s">
        <v>32</v>
      </c>
      <c r="D45" s="23" t="s">
        <v>9</v>
      </c>
      <c r="E45" s="40">
        <v>19161</v>
      </c>
      <c r="F45" s="23" t="s">
        <v>10</v>
      </c>
      <c r="G45" s="41">
        <v>3450</v>
      </c>
      <c r="H45" s="23">
        <v>1</v>
      </c>
      <c r="I45" s="23">
        <v>11</v>
      </c>
      <c r="J45" s="25">
        <f t="shared" si="0"/>
        <v>111</v>
      </c>
      <c r="K45" s="53">
        <f t="shared" si="1"/>
        <v>3112.5</v>
      </c>
      <c r="L45" s="25">
        <f t="shared" si="2"/>
        <v>1035</v>
      </c>
      <c r="M45" s="54">
        <f t="shared" si="3"/>
        <v>1952</v>
      </c>
    </row>
    <row r="46" spans="1:13">
      <c r="A46" s="23" t="s">
        <v>77</v>
      </c>
      <c r="B46" s="23" t="s">
        <v>129</v>
      </c>
      <c r="C46" s="23" t="s">
        <v>78</v>
      </c>
      <c r="D46" s="23" t="s">
        <v>9</v>
      </c>
      <c r="E46" s="40">
        <v>18582</v>
      </c>
      <c r="F46" s="23" t="s">
        <v>10</v>
      </c>
      <c r="G46" s="41">
        <v>4650</v>
      </c>
      <c r="H46" s="23">
        <v>1</v>
      </c>
      <c r="I46" s="23">
        <v>6</v>
      </c>
      <c r="J46" s="25">
        <f t="shared" si="0"/>
        <v>111</v>
      </c>
      <c r="K46" s="53">
        <f t="shared" si="1"/>
        <v>4156.5</v>
      </c>
      <c r="L46" s="25">
        <f t="shared" si="2"/>
        <v>250</v>
      </c>
      <c r="M46" s="54">
        <f t="shared" si="3"/>
        <v>1950</v>
      </c>
    </row>
    <row r="47" spans="1:13">
      <c r="A47" s="23" t="s">
        <v>79</v>
      </c>
      <c r="B47" s="23" t="s">
        <v>143</v>
      </c>
      <c r="C47" s="23" t="s">
        <v>26</v>
      </c>
      <c r="D47" s="23" t="s">
        <v>9</v>
      </c>
      <c r="E47" s="40">
        <v>18507</v>
      </c>
      <c r="F47" s="23" t="s">
        <v>10</v>
      </c>
      <c r="G47" s="41">
        <v>1514</v>
      </c>
      <c r="H47" s="23">
        <v>1</v>
      </c>
      <c r="I47" s="23">
        <v>8</v>
      </c>
      <c r="J47" s="25">
        <f t="shared" si="0"/>
        <v>111</v>
      </c>
      <c r="K47" s="53">
        <f t="shared" si="1"/>
        <v>1428.18</v>
      </c>
      <c r="L47" s="25">
        <f t="shared" si="2"/>
        <v>250</v>
      </c>
      <c r="M47" s="54">
        <f t="shared" si="3"/>
        <v>1950</v>
      </c>
    </row>
    <row r="48" spans="1:13">
      <c r="A48" s="23" t="s">
        <v>80</v>
      </c>
      <c r="B48" s="23" t="s">
        <v>81</v>
      </c>
      <c r="C48" s="23" t="s">
        <v>125</v>
      </c>
      <c r="D48" s="23" t="s">
        <v>9</v>
      </c>
      <c r="E48" s="40">
        <v>18050</v>
      </c>
      <c r="F48" s="23" t="s">
        <v>13</v>
      </c>
      <c r="G48" s="41">
        <v>1800</v>
      </c>
      <c r="H48" s="23">
        <v>0</v>
      </c>
      <c r="I48" s="23">
        <v>10</v>
      </c>
      <c r="J48" s="25">
        <f t="shared" si="0"/>
        <v>111</v>
      </c>
      <c r="K48" s="53">
        <f t="shared" si="1"/>
        <v>1677</v>
      </c>
      <c r="L48" s="25">
        <f t="shared" si="2"/>
        <v>250</v>
      </c>
      <c r="M48" s="54">
        <f t="shared" si="3"/>
        <v>1949</v>
      </c>
    </row>
    <row r="49" spans="1:13">
      <c r="A49" s="23" t="s">
        <v>82</v>
      </c>
      <c r="B49" s="23" t="s">
        <v>143</v>
      </c>
      <c r="C49" s="23" t="s">
        <v>28</v>
      </c>
      <c r="D49" s="23" t="s">
        <v>9</v>
      </c>
      <c r="E49" s="40">
        <v>17995</v>
      </c>
      <c r="F49" s="23" t="s">
        <v>10</v>
      </c>
      <c r="G49" s="41">
        <v>3600</v>
      </c>
      <c r="H49" s="23">
        <v>5</v>
      </c>
      <c r="I49" s="23">
        <v>13</v>
      </c>
      <c r="J49" s="25">
        <f t="shared" si="0"/>
        <v>454</v>
      </c>
      <c r="K49" s="53">
        <f t="shared" si="1"/>
        <v>3586</v>
      </c>
      <c r="L49" s="25">
        <f t="shared" si="2"/>
        <v>1080</v>
      </c>
      <c r="M49" s="54">
        <f t="shared" si="3"/>
        <v>1949</v>
      </c>
    </row>
    <row r="50" spans="1:13">
      <c r="A50" s="23" t="s">
        <v>83</v>
      </c>
      <c r="B50" s="23" t="s">
        <v>71</v>
      </c>
      <c r="C50" s="23" t="s">
        <v>131</v>
      </c>
      <c r="D50" s="23" t="s">
        <v>9</v>
      </c>
      <c r="E50" s="40">
        <v>17845</v>
      </c>
      <c r="F50" s="23" t="s">
        <v>10</v>
      </c>
      <c r="G50" s="41">
        <v>1509</v>
      </c>
      <c r="H50" s="23">
        <v>0</v>
      </c>
      <c r="I50" s="23">
        <v>2</v>
      </c>
      <c r="J50" s="25">
        <f t="shared" si="0"/>
        <v>111</v>
      </c>
      <c r="K50" s="53">
        <f t="shared" si="1"/>
        <v>1423.83</v>
      </c>
      <c r="L50" s="25">
        <f t="shared" si="2"/>
        <v>250</v>
      </c>
      <c r="M50" s="54">
        <f t="shared" si="3"/>
        <v>1948</v>
      </c>
    </row>
    <row r="51" spans="1:13">
      <c r="A51" s="23" t="s">
        <v>84</v>
      </c>
      <c r="B51" s="23" t="s">
        <v>14</v>
      </c>
      <c r="C51" s="23" t="s">
        <v>131</v>
      </c>
      <c r="D51" s="23" t="s">
        <v>9</v>
      </c>
      <c r="E51" s="40">
        <v>17732</v>
      </c>
      <c r="F51" s="23" t="s">
        <v>18</v>
      </c>
      <c r="G51" s="41">
        <v>5750</v>
      </c>
      <c r="H51" s="23">
        <v>0</v>
      </c>
      <c r="I51" s="23">
        <v>14</v>
      </c>
      <c r="J51" s="25">
        <f t="shared" si="0"/>
        <v>111</v>
      </c>
      <c r="K51" s="53">
        <f t="shared" si="1"/>
        <v>5113.5</v>
      </c>
      <c r="L51" s="25">
        <f t="shared" si="2"/>
        <v>1725</v>
      </c>
      <c r="M51" s="54">
        <f t="shared" si="3"/>
        <v>1948</v>
      </c>
    </row>
    <row r="52" spans="1:13">
      <c r="A52" s="23" t="s">
        <v>85</v>
      </c>
      <c r="B52" s="23" t="s">
        <v>16</v>
      </c>
      <c r="C52" s="23" t="s">
        <v>86</v>
      </c>
      <c r="D52" s="23" t="s">
        <v>9</v>
      </c>
      <c r="E52" s="40">
        <v>17606</v>
      </c>
      <c r="F52" s="23" t="s">
        <v>5</v>
      </c>
      <c r="G52" s="41">
        <v>3219</v>
      </c>
      <c r="H52" s="23">
        <v>0</v>
      </c>
      <c r="I52" s="23">
        <v>25</v>
      </c>
      <c r="J52" s="25">
        <f t="shared" si="0"/>
        <v>111</v>
      </c>
      <c r="K52" s="53">
        <f t="shared" si="1"/>
        <v>2911.53</v>
      </c>
      <c r="L52" s="25">
        <f t="shared" si="2"/>
        <v>965.69999999999993</v>
      </c>
      <c r="M52" s="54">
        <f t="shared" si="3"/>
        <v>1948</v>
      </c>
    </row>
    <row r="53" spans="1:13">
      <c r="A53" s="23" t="s">
        <v>87</v>
      </c>
      <c r="B53" s="23" t="s">
        <v>7</v>
      </c>
      <c r="C53" s="23" t="s">
        <v>139</v>
      </c>
      <c r="D53" s="23" t="s">
        <v>9</v>
      </c>
      <c r="E53" s="40">
        <v>17477</v>
      </c>
      <c r="F53" s="23" t="s">
        <v>10</v>
      </c>
      <c r="G53" s="41">
        <v>4650</v>
      </c>
      <c r="H53" s="23">
        <v>1</v>
      </c>
      <c r="I53" s="23">
        <v>5</v>
      </c>
      <c r="J53" s="25">
        <f t="shared" si="0"/>
        <v>111</v>
      </c>
      <c r="K53" s="53">
        <f t="shared" si="1"/>
        <v>4156.5</v>
      </c>
      <c r="L53" s="25">
        <f t="shared" si="2"/>
        <v>250</v>
      </c>
      <c r="M53" s="54">
        <f t="shared" si="3"/>
        <v>1947</v>
      </c>
    </row>
    <row r="54" spans="1:13">
      <c r="A54" s="23" t="s">
        <v>88</v>
      </c>
      <c r="B54" s="23" t="s">
        <v>22</v>
      </c>
      <c r="C54" s="23" t="s">
        <v>131</v>
      </c>
      <c r="D54" s="23" t="s">
        <v>9</v>
      </c>
      <c r="E54" s="40">
        <v>17458</v>
      </c>
      <c r="F54" s="23" t="s">
        <v>10</v>
      </c>
      <c r="G54" s="41">
        <v>3000</v>
      </c>
      <c r="H54" s="23">
        <v>0</v>
      </c>
      <c r="I54" s="23">
        <v>24</v>
      </c>
      <c r="J54" s="25">
        <f t="shared" si="0"/>
        <v>111</v>
      </c>
      <c r="K54" s="53">
        <f t="shared" si="1"/>
        <v>2721</v>
      </c>
      <c r="L54" s="25">
        <f t="shared" si="2"/>
        <v>900</v>
      </c>
      <c r="M54" s="54">
        <f t="shared" si="3"/>
        <v>1947</v>
      </c>
    </row>
    <row r="55" spans="1:13">
      <c r="A55" s="23" t="s">
        <v>89</v>
      </c>
      <c r="B55" s="23" t="s">
        <v>143</v>
      </c>
      <c r="C55" s="23" t="s">
        <v>26</v>
      </c>
      <c r="D55" s="23" t="s">
        <v>9</v>
      </c>
      <c r="E55" s="40">
        <v>17376</v>
      </c>
      <c r="F55" s="23" t="s">
        <v>5</v>
      </c>
      <c r="G55" s="41">
        <v>3229</v>
      </c>
      <c r="H55" s="23">
        <v>0</v>
      </c>
      <c r="I55" s="23">
        <v>12</v>
      </c>
      <c r="J55" s="25">
        <f t="shared" si="0"/>
        <v>111</v>
      </c>
      <c r="K55" s="53">
        <f t="shared" si="1"/>
        <v>2920.23</v>
      </c>
      <c r="L55" s="25">
        <f t="shared" si="2"/>
        <v>968.69999999999993</v>
      </c>
      <c r="M55" s="54">
        <f t="shared" si="3"/>
        <v>1947</v>
      </c>
    </row>
    <row r="56" spans="1:13">
      <c r="A56" s="23" t="s">
        <v>90</v>
      </c>
      <c r="B56" s="23" t="s">
        <v>91</v>
      </c>
      <c r="C56" s="23" t="s">
        <v>131</v>
      </c>
      <c r="D56" s="23" t="s">
        <v>4</v>
      </c>
      <c r="E56" s="40">
        <v>17274</v>
      </c>
      <c r="F56" s="23" t="s">
        <v>18</v>
      </c>
      <c r="G56" s="41">
        <v>6000</v>
      </c>
      <c r="H56" s="23">
        <v>2</v>
      </c>
      <c r="I56" s="23">
        <v>27</v>
      </c>
      <c r="J56" s="25">
        <f t="shared" si="0"/>
        <v>278</v>
      </c>
      <c r="K56" s="53">
        <f t="shared" si="1"/>
        <v>5498</v>
      </c>
      <c r="L56" s="25">
        <f t="shared" si="2"/>
        <v>1800</v>
      </c>
      <c r="M56" s="54">
        <f t="shared" si="3"/>
        <v>1947</v>
      </c>
    </row>
    <row r="57" spans="1:13">
      <c r="A57" s="23" t="s">
        <v>92</v>
      </c>
      <c r="B57" s="23" t="s">
        <v>93</v>
      </c>
      <c r="C57" s="23" t="s">
        <v>120</v>
      </c>
      <c r="D57" s="23" t="s">
        <v>4</v>
      </c>
      <c r="E57" s="40">
        <v>16745</v>
      </c>
      <c r="F57" s="23" t="s">
        <v>18</v>
      </c>
      <c r="G57" s="41">
        <v>4750</v>
      </c>
      <c r="H57" s="23">
        <v>0</v>
      </c>
      <c r="I57" s="23">
        <v>4</v>
      </c>
      <c r="J57" s="25">
        <f t="shared" si="0"/>
        <v>111</v>
      </c>
      <c r="K57" s="53">
        <f t="shared" si="1"/>
        <v>4243.5</v>
      </c>
      <c r="L57" s="25">
        <f t="shared" si="2"/>
        <v>250</v>
      </c>
      <c r="M57" s="54">
        <f t="shared" si="3"/>
        <v>1945</v>
      </c>
    </row>
    <row r="58" spans="1:13">
      <c r="A58" s="23" t="s">
        <v>94</v>
      </c>
      <c r="B58" s="23" t="s">
        <v>16</v>
      </c>
      <c r="C58" s="23" t="s">
        <v>140</v>
      </c>
      <c r="D58" s="23" t="s">
        <v>9</v>
      </c>
      <c r="E58" s="40">
        <v>16315</v>
      </c>
      <c r="F58" s="23" t="s">
        <v>5</v>
      </c>
      <c r="G58" s="41">
        <v>9920</v>
      </c>
      <c r="H58" s="23">
        <v>3</v>
      </c>
      <c r="I58" s="23">
        <v>17</v>
      </c>
      <c r="J58" s="25">
        <f t="shared" si="0"/>
        <v>278</v>
      </c>
      <c r="K58" s="53">
        <f t="shared" si="1"/>
        <v>8908.4</v>
      </c>
      <c r="L58" s="25">
        <f t="shared" si="2"/>
        <v>2976</v>
      </c>
      <c r="M58" s="54">
        <f t="shared" si="3"/>
        <v>1944</v>
      </c>
    </row>
    <row r="59" spans="1:13">
      <c r="A59" s="23" t="s">
        <v>95</v>
      </c>
      <c r="B59" s="23" t="s">
        <v>96</v>
      </c>
      <c r="C59" s="23" t="s">
        <v>97</v>
      </c>
      <c r="D59" s="23" t="s">
        <v>4</v>
      </c>
      <c r="E59" s="40">
        <v>16187</v>
      </c>
      <c r="F59" s="23" t="s">
        <v>10</v>
      </c>
      <c r="G59" s="41">
        <v>3150</v>
      </c>
      <c r="H59" s="23">
        <v>3</v>
      </c>
      <c r="I59" s="23">
        <v>9</v>
      </c>
      <c r="J59" s="25">
        <f t="shared" si="0"/>
        <v>278</v>
      </c>
      <c r="K59" s="53">
        <f t="shared" si="1"/>
        <v>3018.5</v>
      </c>
      <c r="L59" s="25">
        <f t="shared" si="2"/>
        <v>250</v>
      </c>
      <c r="M59" s="54">
        <f t="shared" si="3"/>
        <v>1944</v>
      </c>
    </row>
    <row r="60" spans="1:13">
      <c r="A60" s="23" t="s">
        <v>98</v>
      </c>
      <c r="B60" s="23" t="s">
        <v>75</v>
      </c>
      <c r="C60" s="23" t="s">
        <v>141</v>
      </c>
      <c r="D60" s="23" t="s">
        <v>9</v>
      </c>
      <c r="E60" s="40">
        <v>16026</v>
      </c>
      <c r="F60" s="23" t="s">
        <v>13</v>
      </c>
      <c r="G60" s="41">
        <v>1710</v>
      </c>
      <c r="H60" s="23">
        <v>0</v>
      </c>
      <c r="I60" s="23">
        <v>7</v>
      </c>
      <c r="J60" s="25">
        <f t="shared" si="0"/>
        <v>111</v>
      </c>
      <c r="K60" s="53">
        <f t="shared" si="1"/>
        <v>1598.7</v>
      </c>
      <c r="L60" s="25">
        <f t="shared" si="2"/>
        <v>250</v>
      </c>
      <c r="M60" s="54">
        <f t="shared" si="3"/>
        <v>1943</v>
      </c>
    </row>
    <row r="61" spans="1:13">
      <c r="A61" s="23" t="s">
        <v>99</v>
      </c>
      <c r="B61" s="23" t="s">
        <v>129</v>
      </c>
      <c r="C61" s="23" t="s">
        <v>32</v>
      </c>
      <c r="D61" s="23" t="s">
        <v>9</v>
      </c>
      <c r="E61" s="40">
        <v>15937</v>
      </c>
      <c r="F61" s="23" t="s">
        <v>13</v>
      </c>
      <c r="G61" s="41">
        <v>2070</v>
      </c>
      <c r="H61" s="23">
        <v>2</v>
      </c>
      <c r="I61" s="23">
        <v>22</v>
      </c>
      <c r="J61" s="25">
        <f t="shared" si="0"/>
        <v>278</v>
      </c>
      <c r="K61" s="53">
        <f t="shared" si="1"/>
        <v>2078.9</v>
      </c>
      <c r="L61" s="25">
        <f t="shared" si="2"/>
        <v>621</v>
      </c>
      <c r="M61" s="54">
        <f t="shared" si="3"/>
        <v>1943</v>
      </c>
    </row>
    <row r="62" spans="1:13">
      <c r="A62" s="23" t="s">
        <v>100</v>
      </c>
      <c r="B62" s="23" t="s">
        <v>75</v>
      </c>
      <c r="C62" s="23" t="s">
        <v>141</v>
      </c>
      <c r="D62" s="23" t="s">
        <v>9</v>
      </c>
      <c r="E62" s="40">
        <v>15813</v>
      </c>
      <c r="F62" s="23" t="s">
        <v>10</v>
      </c>
      <c r="G62" s="41">
        <v>2850</v>
      </c>
      <c r="H62" s="23">
        <v>2</v>
      </c>
      <c r="I62" s="23">
        <v>26</v>
      </c>
      <c r="J62" s="25">
        <f t="shared" si="0"/>
        <v>278</v>
      </c>
      <c r="K62" s="53">
        <f t="shared" si="1"/>
        <v>2757.5</v>
      </c>
      <c r="L62" s="25">
        <f t="shared" si="2"/>
        <v>855</v>
      </c>
      <c r="M62" s="54">
        <f t="shared" si="3"/>
        <v>1943</v>
      </c>
    </row>
    <row r="63" spans="1:13">
      <c r="A63" s="23" t="s">
        <v>101</v>
      </c>
      <c r="B63" s="23" t="s">
        <v>143</v>
      </c>
      <c r="C63" s="23" t="s">
        <v>37</v>
      </c>
      <c r="D63" s="23" t="s">
        <v>9</v>
      </c>
      <c r="E63" s="40">
        <v>15384</v>
      </c>
      <c r="F63" s="23" t="s">
        <v>18</v>
      </c>
      <c r="G63" s="41">
        <v>8500</v>
      </c>
      <c r="H63" s="23">
        <v>1</v>
      </c>
      <c r="I63" s="23">
        <v>19</v>
      </c>
      <c r="J63" s="25">
        <f t="shared" si="0"/>
        <v>111</v>
      </c>
      <c r="K63" s="53">
        <f t="shared" si="1"/>
        <v>7506</v>
      </c>
      <c r="L63" s="25">
        <f t="shared" si="2"/>
        <v>2550</v>
      </c>
      <c r="M63" s="54">
        <f t="shared" si="3"/>
        <v>1942</v>
      </c>
    </row>
    <row r="64" spans="1:13">
      <c r="A64" s="23" t="s">
        <v>102</v>
      </c>
      <c r="B64" s="23" t="s">
        <v>118</v>
      </c>
      <c r="C64" s="23" t="s">
        <v>48</v>
      </c>
      <c r="D64" s="23" t="s">
        <v>4</v>
      </c>
      <c r="E64" s="40">
        <v>14500</v>
      </c>
      <c r="F64" s="23" t="s">
        <v>13</v>
      </c>
      <c r="G64" s="41">
        <v>1800</v>
      </c>
      <c r="H64" s="23">
        <v>1</v>
      </c>
      <c r="I64" s="23">
        <v>6</v>
      </c>
      <c r="J64" s="25">
        <f t="shared" si="0"/>
        <v>111</v>
      </c>
      <c r="K64" s="53">
        <f t="shared" si="1"/>
        <v>1677</v>
      </c>
      <c r="L64" s="25">
        <f t="shared" si="2"/>
        <v>250</v>
      </c>
      <c r="M64" s="54">
        <f t="shared" si="3"/>
        <v>1939</v>
      </c>
    </row>
    <row r="65" spans="1:13">
      <c r="A65" s="23" t="s">
        <v>103</v>
      </c>
      <c r="B65" s="23" t="s">
        <v>30</v>
      </c>
      <c r="C65" s="23" t="s">
        <v>125</v>
      </c>
      <c r="D65" s="23" t="s">
        <v>9</v>
      </c>
      <c r="E65" s="40">
        <v>14431</v>
      </c>
      <c r="F65" s="23" t="s">
        <v>13</v>
      </c>
      <c r="G65" s="41">
        <v>2790</v>
      </c>
      <c r="H65" s="23">
        <v>1</v>
      </c>
      <c r="I65" s="23">
        <v>11</v>
      </c>
      <c r="J65" s="25">
        <f t="shared" si="0"/>
        <v>111</v>
      </c>
      <c r="K65" s="53">
        <f t="shared" si="1"/>
        <v>2538.3000000000002</v>
      </c>
      <c r="L65" s="25">
        <f t="shared" si="2"/>
        <v>837</v>
      </c>
      <c r="M65" s="54">
        <f t="shared" si="3"/>
        <v>1939</v>
      </c>
    </row>
    <row r="66" spans="1:13">
      <c r="A66" s="23" t="s">
        <v>104</v>
      </c>
      <c r="B66" s="23" t="s">
        <v>53</v>
      </c>
      <c r="C66" s="23" t="s">
        <v>59</v>
      </c>
      <c r="D66" s="23" t="s">
        <v>9</v>
      </c>
      <c r="E66" s="40">
        <v>14347</v>
      </c>
      <c r="F66" s="23" t="s">
        <v>13</v>
      </c>
      <c r="G66" s="41">
        <v>1800</v>
      </c>
      <c r="H66" s="23">
        <v>1</v>
      </c>
      <c r="I66" s="23">
        <v>8</v>
      </c>
      <c r="J66" s="25">
        <f t="shared" si="0"/>
        <v>111</v>
      </c>
      <c r="K66" s="53">
        <f t="shared" si="1"/>
        <v>1677</v>
      </c>
      <c r="L66" s="25">
        <f t="shared" si="2"/>
        <v>250</v>
      </c>
      <c r="M66" s="54">
        <f t="shared" si="3"/>
        <v>1939</v>
      </c>
    </row>
    <row r="67" spans="1:13">
      <c r="A67" s="23" t="s">
        <v>105</v>
      </c>
      <c r="B67" s="23" t="s">
        <v>71</v>
      </c>
      <c r="C67" s="23" t="s">
        <v>54</v>
      </c>
      <c r="D67" s="23" t="s">
        <v>9</v>
      </c>
      <c r="E67" s="40">
        <v>14018</v>
      </c>
      <c r="F67" s="23" t="s">
        <v>18</v>
      </c>
      <c r="G67" s="41">
        <v>7750</v>
      </c>
      <c r="H67" s="23">
        <v>1</v>
      </c>
      <c r="I67" s="23">
        <v>18</v>
      </c>
      <c r="J67" s="25">
        <f t="shared" ref="J67:J69" si="4">IF(H67&lt;=1, 111, IF(H67&lt;=3, 278, 454))</f>
        <v>111</v>
      </c>
      <c r="K67" s="53">
        <f t="shared" ref="K67:K69" si="5">(G67 * 0.87) + J67</f>
        <v>6853.5</v>
      </c>
      <c r="L67" s="25">
        <f t="shared" ref="L67:L69" si="6">IF(I67 &gt; 10, G67 * 0.3, 250)</f>
        <v>2325</v>
      </c>
      <c r="M67" s="54">
        <f t="shared" ref="M67:M69" si="7">YEAR(E67)</f>
        <v>1938</v>
      </c>
    </row>
    <row r="68" spans="1:13">
      <c r="A68" s="23" t="s">
        <v>83</v>
      </c>
      <c r="B68" s="23" t="s">
        <v>22</v>
      </c>
      <c r="C68" s="23" t="s">
        <v>59</v>
      </c>
      <c r="D68" s="23" t="s">
        <v>9</v>
      </c>
      <c r="E68" s="40">
        <v>13912</v>
      </c>
      <c r="F68" s="23" t="s">
        <v>10</v>
      </c>
      <c r="G68" s="41">
        <v>3000</v>
      </c>
      <c r="H68" s="23">
        <v>0</v>
      </c>
      <c r="I68" s="23">
        <v>13</v>
      </c>
      <c r="J68" s="25">
        <f t="shared" si="4"/>
        <v>111</v>
      </c>
      <c r="K68" s="53">
        <f t="shared" si="5"/>
        <v>2721</v>
      </c>
      <c r="L68" s="25">
        <f t="shared" si="6"/>
        <v>900</v>
      </c>
      <c r="M68" s="54">
        <f t="shared" si="7"/>
        <v>1938</v>
      </c>
    </row>
    <row r="69" spans="1:13">
      <c r="A69" s="23" t="s">
        <v>106</v>
      </c>
      <c r="B69" s="23" t="s">
        <v>107</v>
      </c>
      <c r="C69" s="23" t="s">
        <v>108</v>
      </c>
      <c r="D69" s="23" t="s">
        <v>4</v>
      </c>
      <c r="E69" s="40">
        <v>13430</v>
      </c>
      <c r="F69" s="23" t="s">
        <v>13</v>
      </c>
      <c r="G69" s="41">
        <v>1800</v>
      </c>
      <c r="H69" s="23">
        <v>1</v>
      </c>
      <c r="I69" s="23">
        <v>9</v>
      </c>
      <c r="J69" s="25">
        <f t="shared" si="4"/>
        <v>111</v>
      </c>
      <c r="K69" s="53">
        <f t="shared" si="5"/>
        <v>1677</v>
      </c>
      <c r="L69" s="25">
        <f t="shared" si="6"/>
        <v>250</v>
      </c>
      <c r="M69" s="54">
        <f t="shared" si="7"/>
        <v>1936</v>
      </c>
    </row>
  </sheetData>
  <autoFilter ref="A1:H6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139D-5D9C-4D30-8C8B-3B88A0A35A9D}">
  <dimension ref="B1:AJ95"/>
  <sheetViews>
    <sheetView tabSelected="1" topLeftCell="A17" zoomScale="60" zoomScaleNormal="60" workbookViewId="0">
      <selection activeCell="AI18" sqref="AI18"/>
    </sheetView>
  </sheetViews>
  <sheetFormatPr defaultColWidth="8.7109375" defaultRowHeight="12"/>
  <cols>
    <col min="1" max="1" width="8.7109375" style="19"/>
    <col min="2" max="2" width="16.85546875" style="19" customWidth="1"/>
    <col min="3" max="3" width="12.140625" style="19" customWidth="1"/>
    <col min="4" max="31" width="11.42578125" style="19" bestFit="1" customWidth="1"/>
    <col min="32" max="32" width="11.85546875" style="19" customWidth="1"/>
    <col min="33" max="33" width="15.5703125" style="19" bestFit="1" customWidth="1"/>
    <col min="34" max="34" width="8.7109375" style="19"/>
    <col min="35" max="35" width="10.5703125" style="19" bestFit="1" customWidth="1"/>
    <col min="36" max="16384" width="8.7109375" style="19"/>
  </cols>
  <sheetData>
    <row r="1" spans="2:3">
      <c r="B1" s="33" t="s">
        <v>212</v>
      </c>
    </row>
    <row r="2" spans="2:3">
      <c r="B2" s="34">
        <v>1</v>
      </c>
      <c r="C2" s="35" t="s">
        <v>218</v>
      </c>
    </row>
    <row r="3" spans="2:3">
      <c r="C3" s="35" t="s">
        <v>213</v>
      </c>
    </row>
    <row r="4" spans="2:3">
      <c r="C4" s="36" t="s">
        <v>214</v>
      </c>
    </row>
    <row r="5" spans="2:3">
      <c r="C5" s="36" t="s">
        <v>215</v>
      </c>
    </row>
    <row r="6" spans="2:3">
      <c r="C6" s="36" t="s">
        <v>216</v>
      </c>
    </row>
    <row r="7" spans="2:3">
      <c r="C7" s="36" t="s">
        <v>217</v>
      </c>
    </row>
    <row r="8" spans="2:3">
      <c r="C8" s="36"/>
    </row>
    <row r="9" spans="2:3">
      <c r="B9" s="34">
        <v>2</v>
      </c>
      <c r="C9" s="36" t="s">
        <v>229</v>
      </c>
    </row>
    <row r="10" spans="2:3">
      <c r="C10" s="36" t="s">
        <v>223</v>
      </c>
    </row>
    <row r="11" spans="2:3">
      <c r="C11" s="36" t="s">
        <v>224</v>
      </c>
    </row>
    <row r="12" spans="2:3">
      <c r="C12" s="36" t="s">
        <v>225</v>
      </c>
    </row>
    <row r="13" spans="2:3">
      <c r="C13" s="36" t="s">
        <v>227</v>
      </c>
    </row>
    <row r="14" spans="2:3">
      <c r="C14" s="36" t="s">
        <v>228</v>
      </c>
    </row>
    <row r="16" spans="2:3">
      <c r="B16" s="34">
        <v>1</v>
      </c>
    </row>
    <row r="17" spans="2:36">
      <c r="B17" s="37" t="s">
        <v>235</v>
      </c>
      <c r="C17" s="38">
        <v>44805</v>
      </c>
      <c r="D17" s="38">
        <v>44806</v>
      </c>
      <c r="E17" s="38">
        <v>44807</v>
      </c>
      <c r="F17" s="38">
        <v>44808</v>
      </c>
      <c r="G17" s="38">
        <v>44809</v>
      </c>
      <c r="H17" s="38">
        <v>44810</v>
      </c>
      <c r="I17" s="38">
        <v>44811</v>
      </c>
      <c r="J17" s="38">
        <v>44812</v>
      </c>
      <c r="K17" s="38">
        <v>44813</v>
      </c>
      <c r="L17" s="38">
        <v>44814</v>
      </c>
      <c r="M17" s="38">
        <v>44815</v>
      </c>
      <c r="N17" s="38">
        <v>44816</v>
      </c>
      <c r="O17" s="38">
        <v>44817</v>
      </c>
      <c r="P17" s="38">
        <v>44818</v>
      </c>
      <c r="Q17" s="38">
        <v>44819</v>
      </c>
      <c r="R17" s="38">
        <v>44820</v>
      </c>
      <c r="S17" s="38">
        <v>44821</v>
      </c>
      <c r="T17" s="38">
        <v>44822</v>
      </c>
      <c r="U17" s="38">
        <v>44823</v>
      </c>
      <c r="V17" s="38">
        <v>44824</v>
      </c>
      <c r="W17" s="38">
        <v>44825</v>
      </c>
      <c r="X17" s="38">
        <v>44826</v>
      </c>
      <c r="Y17" s="38">
        <v>44827</v>
      </c>
      <c r="Z17" s="38">
        <v>44828</v>
      </c>
      <c r="AA17" s="38">
        <v>44829</v>
      </c>
      <c r="AB17" s="38">
        <v>44830</v>
      </c>
      <c r="AC17" s="38">
        <v>44831</v>
      </c>
      <c r="AD17" s="38">
        <v>44832</v>
      </c>
      <c r="AE17" s="38">
        <v>44833</v>
      </c>
      <c r="AF17" s="38">
        <v>44834</v>
      </c>
      <c r="AG17" s="63" t="s">
        <v>376</v>
      </c>
    </row>
    <row r="18" spans="2:36" ht="14.25">
      <c r="B18" s="25" t="s">
        <v>144</v>
      </c>
      <c r="C18" s="39" t="s">
        <v>222</v>
      </c>
      <c r="D18" s="39" t="s">
        <v>219</v>
      </c>
      <c r="E18" s="39" t="s">
        <v>219</v>
      </c>
      <c r="F18" s="39" t="s">
        <v>222</v>
      </c>
      <c r="G18" s="39" t="s">
        <v>222</v>
      </c>
      <c r="H18" s="39">
        <v>8</v>
      </c>
      <c r="I18" s="39">
        <v>8</v>
      </c>
      <c r="J18" s="39">
        <v>8</v>
      </c>
      <c r="K18" s="39" t="s">
        <v>219</v>
      </c>
      <c r="L18" s="39" t="s">
        <v>219</v>
      </c>
      <c r="M18" s="39" t="s">
        <v>221</v>
      </c>
      <c r="N18" s="39" t="s">
        <v>221</v>
      </c>
      <c r="O18" s="39" t="s">
        <v>222</v>
      </c>
      <c r="P18" s="39" t="s">
        <v>222</v>
      </c>
      <c r="Q18" s="39">
        <v>8</v>
      </c>
      <c r="R18" s="39" t="s">
        <v>219</v>
      </c>
      <c r="S18" s="39" t="s">
        <v>219</v>
      </c>
      <c r="T18" s="39">
        <v>8</v>
      </c>
      <c r="U18" s="39">
        <v>8</v>
      </c>
      <c r="V18" s="39">
        <v>8</v>
      </c>
      <c r="W18" s="39">
        <v>8</v>
      </c>
      <c r="X18" s="39">
        <v>8</v>
      </c>
      <c r="Y18" s="39" t="s">
        <v>219</v>
      </c>
      <c r="Z18" s="39" t="s">
        <v>219</v>
      </c>
      <c r="AA18" s="39">
        <v>8</v>
      </c>
      <c r="AB18" s="39">
        <v>8</v>
      </c>
      <c r="AC18" s="39">
        <v>10</v>
      </c>
      <c r="AD18" s="39">
        <v>8</v>
      </c>
      <c r="AE18" s="39">
        <v>8</v>
      </c>
      <c r="AF18" s="39" t="s">
        <v>219</v>
      </c>
      <c r="AG18" s="47" t="str">
        <f>VLOOKUP(TRIM(LEFT(B18, FIND(" ", B18 &amp; " ")-1)) &amp; "*", Дані!$A$1:$F$70, 6, FALSE)</f>
        <v>АПС</v>
      </c>
      <c r="AH18" s="19" t="b">
        <f>$AG$18:$AG$85="АПС"</f>
        <v>1</v>
      </c>
      <c r="AI18" s="19">
        <f>IF(COUNTIF(C18:AF18, "Відпус") &gt; 0, 1, 0)</f>
        <v>1</v>
      </c>
      <c r="AJ18" s="19">
        <f>SUMIFS(AH18:AH85,AG18:AG85,"АПС")</f>
        <v>0</v>
      </c>
    </row>
    <row r="19" spans="2:36" ht="14.25">
      <c r="B19" s="25" t="s">
        <v>145</v>
      </c>
      <c r="C19" s="39">
        <v>8</v>
      </c>
      <c r="D19" s="39" t="s">
        <v>219</v>
      </c>
      <c r="E19" s="39" t="s">
        <v>219</v>
      </c>
      <c r="F19" s="39" t="s">
        <v>221</v>
      </c>
      <c r="G19" s="39" t="s">
        <v>221</v>
      </c>
      <c r="H19" s="39" t="s">
        <v>221</v>
      </c>
      <c r="I19" s="39" t="s">
        <v>221</v>
      </c>
      <c r="J19" s="39" t="s">
        <v>221</v>
      </c>
      <c r="K19" s="39" t="s">
        <v>219</v>
      </c>
      <c r="L19" s="39" t="s">
        <v>219</v>
      </c>
      <c r="M19" s="39">
        <v>4</v>
      </c>
      <c r="N19" s="39">
        <v>6</v>
      </c>
      <c r="O19" s="39">
        <v>8</v>
      </c>
      <c r="P19" s="39">
        <v>6</v>
      </c>
      <c r="Q19" s="39">
        <v>4</v>
      </c>
      <c r="R19" s="39" t="s">
        <v>219</v>
      </c>
      <c r="S19" s="39" t="s">
        <v>219</v>
      </c>
      <c r="T19" s="39">
        <v>6</v>
      </c>
      <c r="U19" s="39">
        <v>8</v>
      </c>
      <c r="V19" s="39">
        <v>6</v>
      </c>
      <c r="W19" s="39">
        <v>8</v>
      </c>
      <c r="X19" s="39">
        <v>6</v>
      </c>
      <c r="Y19" s="39" t="s">
        <v>219</v>
      </c>
      <c r="Z19" s="39" t="s">
        <v>219</v>
      </c>
      <c r="AA19" s="39">
        <v>8</v>
      </c>
      <c r="AB19" s="39">
        <v>6</v>
      </c>
      <c r="AC19" s="39">
        <v>8</v>
      </c>
      <c r="AD19" s="39">
        <v>6</v>
      </c>
      <c r="AE19" s="39">
        <v>8</v>
      </c>
      <c r="AF19" s="39" t="s">
        <v>219</v>
      </c>
      <c r="AG19" s="47" t="str">
        <f>VLOOKUP(TRIM(LEFT(B19, FIND(" ", B19 &amp; " ")-1)) &amp; "*", Дані!$A$1:$F$70, 6, FALSE)</f>
        <v>ТКБ</v>
      </c>
      <c r="AH19" s="19" t="b">
        <f t="shared" ref="AH19:AH35" si="0">$AG$18:$AG$85="АПС"</f>
        <v>0</v>
      </c>
    </row>
    <row r="20" spans="2:36" ht="14.25">
      <c r="B20" s="25" t="s">
        <v>146</v>
      </c>
      <c r="C20" s="39">
        <v>8</v>
      </c>
      <c r="D20" s="39" t="s">
        <v>219</v>
      </c>
      <c r="E20" s="39" t="s">
        <v>219</v>
      </c>
      <c r="F20" s="39" t="s">
        <v>221</v>
      </c>
      <c r="G20" s="39" t="s">
        <v>221</v>
      </c>
      <c r="H20" s="39">
        <v>8</v>
      </c>
      <c r="I20" s="39">
        <v>6</v>
      </c>
      <c r="J20" s="39">
        <v>8</v>
      </c>
      <c r="K20" s="39" t="s">
        <v>219</v>
      </c>
      <c r="L20" s="39" t="s">
        <v>219</v>
      </c>
      <c r="M20" s="39">
        <v>8</v>
      </c>
      <c r="N20" s="39">
        <v>8</v>
      </c>
      <c r="O20" s="39">
        <v>8</v>
      </c>
      <c r="P20" s="39">
        <v>8</v>
      </c>
      <c r="Q20" s="39">
        <v>8</v>
      </c>
      <c r="R20" s="39" t="s">
        <v>219</v>
      </c>
      <c r="S20" s="39" t="s">
        <v>219</v>
      </c>
      <c r="T20" s="39">
        <v>8</v>
      </c>
      <c r="U20" s="39">
        <v>8</v>
      </c>
      <c r="V20" s="39">
        <v>8</v>
      </c>
      <c r="W20" s="39" t="s">
        <v>222</v>
      </c>
      <c r="X20" s="39" t="s">
        <v>222</v>
      </c>
      <c r="Y20" s="39" t="s">
        <v>219</v>
      </c>
      <c r="Z20" s="39" t="s">
        <v>219</v>
      </c>
      <c r="AA20" s="39">
        <v>8</v>
      </c>
      <c r="AB20" s="39">
        <v>8</v>
      </c>
      <c r="AC20" s="39">
        <v>8</v>
      </c>
      <c r="AD20" s="39">
        <v>8</v>
      </c>
      <c r="AE20" s="39">
        <v>8</v>
      </c>
      <c r="AF20" s="39" t="s">
        <v>219</v>
      </c>
      <c r="AG20" s="47" t="str">
        <f>VLOOKUP(TRIM(LEFT(B20, FIND(" ", B20 &amp; " ")-1)) &amp; "*", Дані!$A$1:$F$70, 6, FALSE)</f>
        <v>ОТД</v>
      </c>
      <c r="AH20" s="19" t="b">
        <f t="shared" si="0"/>
        <v>0</v>
      </c>
    </row>
    <row r="21" spans="2:36" ht="14.25">
      <c r="B21" s="25" t="s">
        <v>147</v>
      </c>
      <c r="C21" s="39">
        <v>8</v>
      </c>
      <c r="D21" s="39" t="s">
        <v>219</v>
      </c>
      <c r="E21" s="39" t="s">
        <v>219</v>
      </c>
      <c r="F21" s="39" t="s">
        <v>221</v>
      </c>
      <c r="G21" s="39" t="s">
        <v>221</v>
      </c>
      <c r="H21" s="39" t="s">
        <v>221</v>
      </c>
      <c r="I21" s="39" t="s">
        <v>221</v>
      </c>
      <c r="J21" s="39">
        <v>10</v>
      </c>
      <c r="K21" s="39" t="s">
        <v>219</v>
      </c>
      <c r="L21" s="39" t="s">
        <v>219</v>
      </c>
      <c r="M21" s="39">
        <v>4</v>
      </c>
      <c r="N21" s="39">
        <v>6</v>
      </c>
      <c r="O21" s="39">
        <v>8</v>
      </c>
      <c r="P21" s="39">
        <v>6</v>
      </c>
      <c r="Q21" s="39">
        <v>4</v>
      </c>
      <c r="R21" s="39" t="s">
        <v>219</v>
      </c>
      <c r="S21" s="39" t="s">
        <v>221</v>
      </c>
      <c r="T21" s="39" t="s">
        <v>221</v>
      </c>
      <c r="U21" s="39" t="s">
        <v>221</v>
      </c>
      <c r="V21" s="39" t="s">
        <v>221</v>
      </c>
      <c r="W21" s="39">
        <v>8</v>
      </c>
      <c r="X21" s="39">
        <v>6</v>
      </c>
      <c r="Y21" s="39" t="s">
        <v>219</v>
      </c>
      <c r="Z21" s="39" t="s">
        <v>219</v>
      </c>
      <c r="AA21" s="39">
        <v>8</v>
      </c>
      <c r="AB21" s="39">
        <v>6</v>
      </c>
      <c r="AC21" s="39">
        <v>8</v>
      </c>
      <c r="AD21" s="39">
        <v>6</v>
      </c>
      <c r="AE21" s="39">
        <v>8</v>
      </c>
      <c r="AF21" s="39" t="s">
        <v>219</v>
      </c>
      <c r="AG21" s="47" t="str">
        <f>VLOOKUP(TRIM(LEFT(B21, FIND(" ", B21 &amp; " ")-1)) &amp; "*", Дані!$A$1:$F$70, 6, FALSE)</f>
        <v>ОТД</v>
      </c>
      <c r="AH21" s="19" t="b">
        <f t="shared" si="0"/>
        <v>0</v>
      </c>
    </row>
    <row r="22" spans="2:36" ht="14.25">
      <c r="B22" s="25" t="s">
        <v>148</v>
      </c>
      <c r="C22" s="39">
        <v>8</v>
      </c>
      <c r="D22" s="39" t="s">
        <v>219</v>
      </c>
      <c r="E22" s="39" t="s">
        <v>219</v>
      </c>
      <c r="F22" s="39">
        <v>8</v>
      </c>
      <c r="G22" s="39">
        <v>8</v>
      </c>
      <c r="H22" s="39">
        <v>8</v>
      </c>
      <c r="I22" s="39">
        <v>8</v>
      </c>
      <c r="J22" s="39">
        <v>8</v>
      </c>
      <c r="K22" s="39" t="s">
        <v>219</v>
      </c>
      <c r="L22" s="39" t="s">
        <v>219</v>
      </c>
      <c r="M22" s="39" t="s">
        <v>220</v>
      </c>
      <c r="N22" s="39" t="s">
        <v>220</v>
      </c>
      <c r="O22" s="39" t="s">
        <v>220</v>
      </c>
      <c r="P22" s="39" t="s">
        <v>220</v>
      </c>
      <c r="Q22" s="39" t="s">
        <v>220</v>
      </c>
      <c r="R22" s="39" t="s">
        <v>219</v>
      </c>
      <c r="S22" s="39" t="s">
        <v>219</v>
      </c>
      <c r="T22" s="39">
        <v>8</v>
      </c>
      <c r="U22" s="39">
        <v>8</v>
      </c>
      <c r="V22" s="39">
        <v>8</v>
      </c>
      <c r="W22" s="39">
        <v>8</v>
      </c>
      <c r="X22" s="39" t="s">
        <v>226</v>
      </c>
      <c r="Y22" s="39" t="s">
        <v>219</v>
      </c>
      <c r="Z22" s="39" t="s">
        <v>219</v>
      </c>
      <c r="AA22" s="39" t="s">
        <v>222</v>
      </c>
      <c r="AB22" s="39" t="s">
        <v>222</v>
      </c>
      <c r="AC22" s="39" t="s">
        <v>222</v>
      </c>
      <c r="AD22" s="39" t="s">
        <v>222</v>
      </c>
      <c r="AE22" s="39">
        <v>8</v>
      </c>
      <c r="AF22" s="39" t="s">
        <v>219</v>
      </c>
      <c r="AG22" s="47" t="str">
        <f>VLOOKUP(TRIM(LEFT(B22, FIND(" ", B22 &amp; " ")-1)) &amp; "*", Дані!$A$1:$F$70, 6, FALSE)</f>
        <v>ОНК</v>
      </c>
      <c r="AH22" s="19" t="b">
        <f t="shared" si="0"/>
        <v>0</v>
      </c>
    </row>
    <row r="23" spans="2:36" ht="14.25">
      <c r="B23" s="25" t="s">
        <v>149</v>
      </c>
      <c r="C23" s="39">
        <v>8</v>
      </c>
      <c r="D23" s="39" t="s">
        <v>219</v>
      </c>
      <c r="E23" s="39" t="s">
        <v>219</v>
      </c>
      <c r="F23" s="39" t="s">
        <v>221</v>
      </c>
      <c r="G23" s="39" t="s">
        <v>221</v>
      </c>
      <c r="H23" s="39" t="s">
        <v>221</v>
      </c>
      <c r="I23" s="39" t="s">
        <v>221</v>
      </c>
      <c r="J23" s="39" t="s">
        <v>221</v>
      </c>
      <c r="K23" s="39" t="s">
        <v>219</v>
      </c>
      <c r="L23" s="39" t="s">
        <v>219</v>
      </c>
      <c r="M23" s="39">
        <v>4</v>
      </c>
      <c r="N23" s="39">
        <v>6</v>
      </c>
      <c r="O23" s="39">
        <v>8</v>
      </c>
      <c r="P23" s="39">
        <v>6</v>
      </c>
      <c r="Q23" s="39">
        <v>4</v>
      </c>
      <c r="R23" s="39" t="s">
        <v>219</v>
      </c>
      <c r="S23" s="39" t="s">
        <v>219</v>
      </c>
      <c r="T23" s="39">
        <v>6</v>
      </c>
      <c r="U23" s="39">
        <v>8</v>
      </c>
      <c r="V23" s="39">
        <v>6</v>
      </c>
      <c r="W23" s="39">
        <v>8</v>
      </c>
      <c r="X23" s="39">
        <v>6</v>
      </c>
      <c r="Y23" s="39" t="s">
        <v>219</v>
      </c>
      <c r="Z23" s="39" t="s">
        <v>226</v>
      </c>
      <c r="AA23" s="39">
        <v>8</v>
      </c>
      <c r="AB23" s="39">
        <v>6</v>
      </c>
      <c r="AC23" s="39">
        <v>8</v>
      </c>
      <c r="AD23" s="39">
        <v>6</v>
      </c>
      <c r="AE23" s="39">
        <v>8</v>
      </c>
      <c r="AF23" s="39" t="s">
        <v>219</v>
      </c>
      <c r="AG23" s="47" t="str">
        <f>VLOOKUP(TRIM(LEFT(B23, FIND(" ", B23 &amp; " ")-1)) &amp; "*", Дані!$A$1:$F$70, 6, FALSE)</f>
        <v>ОНК</v>
      </c>
      <c r="AH23" s="19" t="b">
        <f t="shared" si="0"/>
        <v>0</v>
      </c>
    </row>
    <row r="24" spans="2:36" ht="14.25">
      <c r="B24" s="25" t="s">
        <v>150</v>
      </c>
      <c r="C24" s="39">
        <v>8</v>
      </c>
      <c r="D24" s="39" t="s">
        <v>219</v>
      </c>
      <c r="E24" s="39" t="s">
        <v>219</v>
      </c>
      <c r="F24" s="39" t="s">
        <v>220</v>
      </c>
      <c r="G24" s="39" t="s">
        <v>220</v>
      </c>
      <c r="H24" s="39" t="s">
        <v>220</v>
      </c>
      <c r="I24" s="39" t="s">
        <v>220</v>
      </c>
      <c r="J24" s="39">
        <v>4</v>
      </c>
      <c r="K24" s="39">
        <v>4</v>
      </c>
      <c r="L24" s="39">
        <v>4</v>
      </c>
      <c r="M24" s="39">
        <v>4</v>
      </c>
      <c r="N24" s="39">
        <v>6</v>
      </c>
      <c r="O24" s="39">
        <v>8</v>
      </c>
      <c r="P24" s="39">
        <v>6</v>
      </c>
      <c r="Q24" s="39">
        <v>4</v>
      </c>
      <c r="R24" s="39" t="s">
        <v>219</v>
      </c>
      <c r="S24" s="39" t="s">
        <v>221</v>
      </c>
      <c r="T24" s="39" t="s">
        <v>221</v>
      </c>
      <c r="U24" s="39" t="s">
        <v>221</v>
      </c>
      <c r="V24" s="39" t="s">
        <v>221</v>
      </c>
      <c r="W24" s="39">
        <v>8</v>
      </c>
      <c r="X24" s="39">
        <v>6</v>
      </c>
      <c r="Y24" s="39" t="s">
        <v>219</v>
      </c>
      <c r="Z24" s="39" t="s">
        <v>219</v>
      </c>
      <c r="AA24" s="39">
        <v>8</v>
      </c>
      <c r="AB24" s="39">
        <v>6</v>
      </c>
      <c r="AC24" s="39">
        <v>8</v>
      </c>
      <c r="AD24" s="39">
        <v>6</v>
      </c>
      <c r="AE24" s="39">
        <v>8</v>
      </c>
      <c r="AF24" s="39" t="s">
        <v>219</v>
      </c>
      <c r="AG24" s="47" t="str">
        <f>VLOOKUP(TRIM(LEFT(B24, FIND(" ", B24 &amp; " ")-1)) &amp; "*", Дані!$A$1:$F$70, 6, FALSE)</f>
        <v>ОНК</v>
      </c>
      <c r="AH24" s="19" t="b">
        <f t="shared" si="0"/>
        <v>0</v>
      </c>
    </row>
    <row r="25" spans="2:36" ht="14.25">
      <c r="B25" s="25" t="s">
        <v>151</v>
      </c>
      <c r="C25" s="39">
        <v>8</v>
      </c>
      <c r="D25" s="39" t="s">
        <v>219</v>
      </c>
      <c r="E25" s="39" t="s">
        <v>219</v>
      </c>
      <c r="F25" s="39" t="s">
        <v>221</v>
      </c>
      <c r="G25" s="39" t="s">
        <v>221</v>
      </c>
      <c r="H25" s="39" t="s">
        <v>221</v>
      </c>
      <c r="I25" s="39" t="s">
        <v>221</v>
      </c>
      <c r="J25" s="39">
        <v>10</v>
      </c>
      <c r="K25" s="39" t="s">
        <v>219</v>
      </c>
      <c r="L25" s="39" t="s">
        <v>219</v>
      </c>
      <c r="M25" s="39">
        <v>4</v>
      </c>
      <c r="N25" s="39">
        <v>6</v>
      </c>
      <c r="O25" s="39">
        <v>8</v>
      </c>
      <c r="P25" s="39">
        <v>6</v>
      </c>
      <c r="Q25" s="39">
        <v>4</v>
      </c>
      <c r="R25" s="39" t="s">
        <v>219</v>
      </c>
      <c r="S25" s="39" t="s">
        <v>221</v>
      </c>
      <c r="T25" s="39" t="s">
        <v>221</v>
      </c>
      <c r="U25" s="39" t="s">
        <v>221</v>
      </c>
      <c r="V25" s="39" t="s">
        <v>221</v>
      </c>
      <c r="W25" s="39">
        <v>8</v>
      </c>
      <c r="X25" s="39">
        <v>6</v>
      </c>
      <c r="Y25" s="39" t="s">
        <v>219</v>
      </c>
      <c r="Z25" s="39" t="s">
        <v>219</v>
      </c>
      <c r="AA25" s="39">
        <v>8</v>
      </c>
      <c r="AB25" s="39">
        <v>6</v>
      </c>
      <c r="AC25" s="39">
        <v>8</v>
      </c>
      <c r="AD25" s="39">
        <v>6</v>
      </c>
      <c r="AE25" s="39">
        <v>8</v>
      </c>
      <c r="AF25" s="39" t="s">
        <v>219</v>
      </c>
      <c r="AG25" s="47" t="str">
        <f>VLOOKUP(TRIM(LEFT(B25, FIND(" ", B25 &amp; " ")-1)) &amp; "*", Дані!$A$1:$F$70, 6, FALSE)</f>
        <v>ТКБ</v>
      </c>
      <c r="AH25" s="19" t="b">
        <f t="shared" si="0"/>
        <v>0</v>
      </c>
    </row>
    <row r="26" spans="2:36" ht="14.25">
      <c r="B26" s="25" t="s">
        <v>152</v>
      </c>
      <c r="C26" s="39">
        <v>8</v>
      </c>
      <c r="D26" s="39" t="s">
        <v>219</v>
      </c>
      <c r="E26" s="39" t="s">
        <v>219</v>
      </c>
      <c r="F26" s="39">
        <v>8</v>
      </c>
      <c r="G26" s="39">
        <v>8</v>
      </c>
      <c r="H26" s="39">
        <v>8</v>
      </c>
      <c r="I26" s="39">
        <v>8</v>
      </c>
      <c r="J26" s="39">
        <v>8</v>
      </c>
      <c r="K26" s="39" t="s">
        <v>219</v>
      </c>
      <c r="L26" s="39" t="s">
        <v>219</v>
      </c>
      <c r="M26" s="39" t="s">
        <v>220</v>
      </c>
      <c r="N26" s="39" t="s">
        <v>220</v>
      </c>
      <c r="O26" s="39" t="s">
        <v>220</v>
      </c>
      <c r="P26" s="39" t="s">
        <v>220</v>
      </c>
      <c r="Q26" s="39" t="s">
        <v>220</v>
      </c>
      <c r="R26" s="39" t="s">
        <v>219</v>
      </c>
      <c r="S26" s="39" t="s">
        <v>219</v>
      </c>
      <c r="T26" s="39">
        <v>8</v>
      </c>
      <c r="U26" s="39">
        <v>8</v>
      </c>
      <c r="V26" s="39">
        <v>8</v>
      </c>
      <c r="W26" s="39">
        <v>8</v>
      </c>
      <c r="X26" s="39" t="s">
        <v>226</v>
      </c>
      <c r="Y26" s="39" t="s">
        <v>219</v>
      </c>
      <c r="Z26" s="39" t="s">
        <v>219</v>
      </c>
      <c r="AA26" s="39" t="s">
        <v>222</v>
      </c>
      <c r="AB26" s="39" t="s">
        <v>222</v>
      </c>
      <c r="AC26" s="39" t="s">
        <v>222</v>
      </c>
      <c r="AD26" s="39" t="s">
        <v>222</v>
      </c>
      <c r="AE26" s="39">
        <v>8</v>
      </c>
      <c r="AF26" s="39" t="s">
        <v>219</v>
      </c>
      <c r="AG26" s="47" t="str">
        <f>VLOOKUP(TRIM(LEFT(B26, FIND(" ", B26 &amp; " ")-1)) &amp; "*", Дані!$A$1:$F$70, 6, FALSE)</f>
        <v>ОТД</v>
      </c>
      <c r="AH26" s="19" t="b">
        <f t="shared" si="0"/>
        <v>0</v>
      </c>
    </row>
    <row r="27" spans="2:36" ht="14.25">
      <c r="B27" s="25" t="s">
        <v>153</v>
      </c>
      <c r="C27" s="39">
        <v>8</v>
      </c>
      <c r="D27" s="39" t="s">
        <v>219</v>
      </c>
      <c r="E27" s="39" t="s">
        <v>219</v>
      </c>
      <c r="F27" s="39" t="s">
        <v>220</v>
      </c>
      <c r="G27" s="39" t="s">
        <v>220</v>
      </c>
      <c r="H27" s="39" t="s">
        <v>220</v>
      </c>
      <c r="I27" s="39" t="s">
        <v>220</v>
      </c>
      <c r="J27" s="39">
        <v>4</v>
      </c>
      <c r="K27" s="39">
        <v>4</v>
      </c>
      <c r="L27" s="39">
        <v>4</v>
      </c>
      <c r="M27" s="39">
        <v>4</v>
      </c>
      <c r="N27" s="39">
        <v>6</v>
      </c>
      <c r="O27" s="39">
        <v>8</v>
      </c>
      <c r="P27" s="39">
        <v>6</v>
      </c>
      <c r="Q27" s="39">
        <v>4</v>
      </c>
      <c r="R27" s="39" t="s">
        <v>219</v>
      </c>
      <c r="S27" s="39" t="s">
        <v>221</v>
      </c>
      <c r="T27" s="39" t="s">
        <v>221</v>
      </c>
      <c r="U27" s="39" t="s">
        <v>221</v>
      </c>
      <c r="V27" s="39" t="s">
        <v>221</v>
      </c>
      <c r="W27" s="39">
        <v>8</v>
      </c>
      <c r="X27" s="39">
        <v>6</v>
      </c>
      <c r="Y27" s="39" t="s">
        <v>226</v>
      </c>
      <c r="Z27" s="39" t="s">
        <v>219</v>
      </c>
      <c r="AA27" s="39">
        <v>8</v>
      </c>
      <c r="AB27" s="39">
        <v>6</v>
      </c>
      <c r="AC27" s="39">
        <v>8</v>
      </c>
      <c r="AD27" s="39">
        <v>6</v>
      </c>
      <c r="AE27" s="39">
        <v>8</v>
      </c>
      <c r="AF27" s="39" t="s">
        <v>219</v>
      </c>
      <c r="AG27" s="47" t="str">
        <f>VLOOKUP(TRIM(LEFT(B27, FIND(" ", B27 &amp; " ")-1)) &amp; "*", Дані!$A$1:$F$70, 6, FALSE)</f>
        <v>АПС</v>
      </c>
      <c r="AH27" s="19" t="b">
        <f t="shared" si="0"/>
        <v>1</v>
      </c>
    </row>
    <row r="28" spans="2:36" ht="14.25">
      <c r="B28" s="25" t="s">
        <v>154</v>
      </c>
      <c r="C28" s="39">
        <v>8</v>
      </c>
      <c r="D28" s="39" t="s">
        <v>219</v>
      </c>
      <c r="E28" s="39" t="s">
        <v>219</v>
      </c>
      <c r="F28" s="39" t="s">
        <v>221</v>
      </c>
      <c r="G28" s="39" t="s">
        <v>221</v>
      </c>
      <c r="H28" s="39">
        <v>8</v>
      </c>
      <c r="I28" s="39">
        <v>6</v>
      </c>
      <c r="J28" s="39">
        <v>8</v>
      </c>
      <c r="K28" s="39" t="s">
        <v>219</v>
      </c>
      <c r="L28" s="39" t="s">
        <v>219</v>
      </c>
      <c r="M28" s="39">
        <v>8</v>
      </c>
      <c r="N28" s="39">
        <v>8</v>
      </c>
      <c r="O28" s="39">
        <v>8</v>
      </c>
      <c r="P28" s="39">
        <v>8</v>
      </c>
      <c r="Q28" s="39">
        <v>8</v>
      </c>
      <c r="R28" s="39" t="s">
        <v>219</v>
      </c>
      <c r="S28" s="39" t="s">
        <v>219</v>
      </c>
      <c r="T28" s="39">
        <v>8</v>
      </c>
      <c r="U28" s="39">
        <v>8</v>
      </c>
      <c r="V28" s="39">
        <v>8</v>
      </c>
      <c r="W28" s="39" t="s">
        <v>222</v>
      </c>
      <c r="X28" s="39" t="s">
        <v>222</v>
      </c>
      <c r="Y28" s="39" t="s">
        <v>219</v>
      </c>
      <c r="Z28" s="39" t="s">
        <v>219</v>
      </c>
      <c r="AA28" s="39">
        <v>8</v>
      </c>
      <c r="AB28" s="39">
        <v>8</v>
      </c>
      <c r="AC28" s="39">
        <v>8</v>
      </c>
      <c r="AD28" s="39">
        <v>8</v>
      </c>
      <c r="AE28" s="39">
        <v>8</v>
      </c>
      <c r="AF28" s="39" t="s">
        <v>219</v>
      </c>
      <c r="AG28" s="47" t="str">
        <f>VLOOKUP(TRIM(LEFT(B28, FIND(" ", B28 &amp; " ")-1)) &amp; "*", Дані!$A$1:$F$70, 6, FALSE)</f>
        <v>ТКБ</v>
      </c>
      <c r="AH28" s="19" t="b">
        <f t="shared" si="0"/>
        <v>0</v>
      </c>
    </row>
    <row r="29" spans="2:36" ht="14.25">
      <c r="B29" s="25" t="s">
        <v>155</v>
      </c>
      <c r="C29" s="39" t="s">
        <v>222</v>
      </c>
      <c r="D29" s="39" t="s">
        <v>219</v>
      </c>
      <c r="E29" s="39" t="s">
        <v>219</v>
      </c>
      <c r="F29" s="39" t="s">
        <v>222</v>
      </c>
      <c r="G29" s="39" t="s">
        <v>222</v>
      </c>
      <c r="H29" s="39">
        <v>8</v>
      </c>
      <c r="I29" s="39">
        <v>8</v>
      </c>
      <c r="J29" s="39">
        <v>8</v>
      </c>
      <c r="K29" s="39" t="s">
        <v>219</v>
      </c>
      <c r="L29" s="39" t="s">
        <v>219</v>
      </c>
      <c r="M29" s="39">
        <v>4</v>
      </c>
      <c r="N29" s="39">
        <v>8</v>
      </c>
      <c r="O29" s="39">
        <v>8</v>
      </c>
      <c r="P29" s="39">
        <v>8</v>
      </c>
      <c r="Q29" s="39">
        <v>8</v>
      </c>
      <c r="R29" s="39" t="s">
        <v>219</v>
      </c>
      <c r="S29" s="39" t="s">
        <v>219</v>
      </c>
      <c r="T29" s="39" t="s">
        <v>221</v>
      </c>
      <c r="U29" s="39" t="s">
        <v>221</v>
      </c>
      <c r="V29" s="39">
        <v>4</v>
      </c>
      <c r="W29" s="39">
        <v>8</v>
      </c>
      <c r="X29" s="39">
        <v>8</v>
      </c>
      <c r="Y29" s="39" t="s">
        <v>219</v>
      </c>
      <c r="Z29" s="39" t="s">
        <v>219</v>
      </c>
      <c r="AA29" s="39">
        <v>8</v>
      </c>
      <c r="AB29" s="39">
        <v>8</v>
      </c>
      <c r="AC29" s="39">
        <v>8</v>
      </c>
      <c r="AD29" s="39">
        <v>8</v>
      </c>
      <c r="AE29" s="39">
        <v>8</v>
      </c>
      <c r="AF29" s="39" t="s">
        <v>219</v>
      </c>
      <c r="AG29" s="47" t="str">
        <f>VLOOKUP(TRIM(LEFT(B29, FIND(" ", B29 &amp; " ")-1)) &amp; "*", Дані!$A$1:$F$70, 6, FALSE)</f>
        <v>ОТД</v>
      </c>
      <c r="AH29" s="19" t="b">
        <f t="shared" si="0"/>
        <v>0</v>
      </c>
    </row>
    <row r="30" spans="2:36" ht="14.25">
      <c r="B30" s="25" t="s">
        <v>156</v>
      </c>
      <c r="C30" s="39">
        <v>6</v>
      </c>
      <c r="D30" s="39" t="s">
        <v>219</v>
      </c>
      <c r="E30" s="39" t="s">
        <v>219</v>
      </c>
      <c r="F30" s="39">
        <v>8</v>
      </c>
      <c r="G30" s="39">
        <v>8</v>
      </c>
      <c r="H30" s="39">
        <v>8</v>
      </c>
      <c r="I30" s="39">
        <v>8</v>
      </c>
      <c r="J30" s="39">
        <v>8</v>
      </c>
      <c r="K30" s="39" t="s">
        <v>226</v>
      </c>
      <c r="L30" s="39" t="s">
        <v>219</v>
      </c>
      <c r="M30" s="39">
        <v>8</v>
      </c>
      <c r="N30" s="39">
        <v>8</v>
      </c>
      <c r="O30" s="39">
        <v>8</v>
      </c>
      <c r="P30" s="39">
        <v>8</v>
      </c>
      <c r="Q30" s="39">
        <v>8</v>
      </c>
      <c r="R30" s="39" t="s">
        <v>219</v>
      </c>
      <c r="S30" s="39" t="s">
        <v>219</v>
      </c>
      <c r="T30" s="39">
        <v>4</v>
      </c>
      <c r="U30" s="39">
        <v>4</v>
      </c>
      <c r="V30" s="39">
        <v>8</v>
      </c>
      <c r="W30" s="39">
        <v>8</v>
      </c>
      <c r="X30" s="39">
        <v>8</v>
      </c>
      <c r="Y30" s="39" t="s">
        <v>219</v>
      </c>
      <c r="Z30" s="39" t="s">
        <v>219</v>
      </c>
      <c r="AA30" s="39">
        <v>8</v>
      </c>
      <c r="AB30" s="39">
        <v>8</v>
      </c>
      <c r="AC30" s="39">
        <v>6</v>
      </c>
      <c r="AD30" s="39">
        <v>4</v>
      </c>
      <c r="AE30" s="39">
        <v>4</v>
      </c>
      <c r="AF30" s="39" t="s">
        <v>219</v>
      </c>
      <c r="AG30" s="47" t="str">
        <f>VLOOKUP(TRIM(LEFT(B30, FIND(" ", B30 &amp; " ")-1)) &amp; "*", Дані!$A$1:$F$70, 6, FALSE)</f>
        <v>ОТД</v>
      </c>
      <c r="AH30" s="19" t="b">
        <f t="shared" si="0"/>
        <v>0</v>
      </c>
    </row>
    <row r="31" spans="2:36" ht="14.25">
      <c r="B31" s="25" t="s">
        <v>157</v>
      </c>
      <c r="C31" s="39">
        <v>8</v>
      </c>
      <c r="D31" s="39" t="s">
        <v>219</v>
      </c>
      <c r="E31" s="39" t="s">
        <v>219</v>
      </c>
      <c r="F31" s="39" t="s">
        <v>220</v>
      </c>
      <c r="G31" s="39" t="s">
        <v>220</v>
      </c>
      <c r="H31" s="39" t="s">
        <v>220</v>
      </c>
      <c r="I31" s="39" t="s">
        <v>220</v>
      </c>
      <c r="J31" s="39">
        <v>4</v>
      </c>
      <c r="K31" s="39">
        <v>4</v>
      </c>
      <c r="L31" s="39">
        <v>4</v>
      </c>
      <c r="M31" s="39">
        <v>4</v>
      </c>
      <c r="N31" s="39">
        <v>6</v>
      </c>
      <c r="O31" s="39">
        <v>8</v>
      </c>
      <c r="P31" s="39">
        <v>6</v>
      </c>
      <c r="Q31" s="39">
        <v>4</v>
      </c>
      <c r="R31" s="39" t="s">
        <v>219</v>
      </c>
      <c r="S31" s="39" t="s">
        <v>221</v>
      </c>
      <c r="T31" s="39" t="s">
        <v>221</v>
      </c>
      <c r="U31" s="39" t="s">
        <v>221</v>
      </c>
      <c r="V31" s="39" t="s">
        <v>221</v>
      </c>
      <c r="W31" s="39">
        <v>8</v>
      </c>
      <c r="X31" s="39">
        <v>6</v>
      </c>
      <c r="Y31" s="39" t="s">
        <v>219</v>
      </c>
      <c r="Z31" s="39" t="s">
        <v>219</v>
      </c>
      <c r="AA31" s="39">
        <v>8</v>
      </c>
      <c r="AB31" s="39">
        <v>6</v>
      </c>
      <c r="AC31" s="39">
        <v>8</v>
      </c>
      <c r="AD31" s="39">
        <v>6</v>
      </c>
      <c r="AE31" s="39">
        <v>8</v>
      </c>
      <c r="AF31" s="39" t="s">
        <v>219</v>
      </c>
      <c r="AG31" s="47" t="str">
        <f>VLOOKUP(TRIM(LEFT(B31, FIND(" ", B31 &amp; " ")-1)) &amp; "*", Дані!$A$1:$F$70, 6, FALSE)</f>
        <v>ОНК</v>
      </c>
      <c r="AH31" s="19" t="b">
        <f t="shared" si="0"/>
        <v>0</v>
      </c>
    </row>
    <row r="32" spans="2:36" ht="14.25">
      <c r="B32" s="25" t="s">
        <v>158</v>
      </c>
      <c r="C32" s="39">
        <v>8</v>
      </c>
      <c r="D32" s="39" t="s">
        <v>219</v>
      </c>
      <c r="E32" s="39" t="s">
        <v>219</v>
      </c>
      <c r="F32" s="39" t="s">
        <v>220</v>
      </c>
      <c r="G32" s="39" t="s">
        <v>220</v>
      </c>
      <c r="H32" s="39" t="s">
        <v>220</v>
      </c>
      <c r="I32" s="39" t="s">
        <v>220</v>
      </c>
      <c r="J32" s="39">
        <v>4</v>
      </c>
      <c r="K32" s="39">
        <v>4</v>
      </c>
      <c r="L32" s="39">
        <v>4</v>
      </c>
      <c r="M32" s="39">
        <v>4</v>
      </c>
      <c r="N32" s="39">
        <v>6</v>
      </c>
      <c r="O32" s="39">
        <v>8</v>
      </c>
      <c r="P32" s="39">
        <v>6</v>
      </c>
      <c r="Q32" s="39">
        <v>4</v>
      </c>
      <c r="R32" s="39" t="s">
        <v>219</v>
      </c>
      <c r="S32" s="39" t="s">
        <v>221</v>
      </c>
      <c r="T32" s="39" t="s">
        <v>221</v>
      </c>
      <c r="U32" s="39" t="s">
        <v>221</v>
      </c>
      <c r="V32" s="39" t="s">
        <v>221</v>
      </c>
      <c r="W32" s="39">
        <v>8</v>
      </c>
      <c r="X32" s="39">
        <v>6</v>
      </c>
      <c r="Y32" s="39" t="s">
        <v>219</v>
      </c>
      <c r="Z32" s="39" t="s">
        <v>219</v>
      </c>
      <c r="AA32" s="39">
        <v>8</v>
      </c>
      <c r="AB32" s="39">
        <v>6</v>
      </c>
      <c r="AC32" s="39">
        <v>8</v>
      </c>
      <c r="AD32" s="39">
        <v>6</v>
      </c>
      <c r="AE32" s="39">
        <v>8</v>
      </c>
      <c r="AF32" s="39" t="s">
        <v>219</v>
      </c>
      <c r="AG32" s="47" t="str">
        <f>VLOOKUP(TRIM(LEFT(B32, FIND(" ", B32 &amp; " ")-1)) &amp; "*", Дані!$A$1:$F$70, 6, FALSE)</f>
        <v>ТКБ</v>
      </c>
      <c r="AH32" s="19" t="b">
        <f t="shared" si="0"/>
        <v>0</v>
      </c>
    </row>
    <row r="33" spans="2:34" ht="14.25">
      <c r="B33" s="25" t="s">
        <v>159</v>
      </c>
      <c r="C33" s="39" t="s">
        <v>222</v>
      </c>
      <c r="D33" s="39" t="s">
        <v>219</v>
      </c>
      <c r="E33" s="39" t="s">
        <v>219</v>
      </c>
      <c r="F33" s="39" t="s">
        <v>222</v>
      </c>
      <c r="G33" s="39" t="s">
        <v>222</v>
      </c>
      <c r="H33" s="39">
        <v>8</v>
      </c>
      <c r="I33" s="39">
        <v>8</v>
      </c>
      <c r="J33" s="39">
        <v>8</v>
      </c>
      <c r="K33" s="39">
        <v>7</v>
      </c>
      <c r="L33" s="39" t="s">
        <v>219</v>
      </c>
      <c r="M33" s="39" t="s">
        <v>221</v>
      </c>
      <c r="N33" s="39" t="s">
        <v>221</v>
      </c>
      <c r="O33" s="39" t="s">
        <v>222</v>
      </c>
      <c r="P33" s="39" t="s">
        <v>222</v>
      </c>
      <c r="Q33" s="39">
        <v>8</v>
      </c>
      <c r="R33" s="39" t="s">
        <v>219</v>
      </c>
      <c r="S33" s="39" t="s">
        <v>219</v>
      </c>
      <c r="T33" s="39">
        <v>8</v>
      </c>
      <c r="U33" s="39">
        <v>8</v>
      </c>
      <c r="V33" s="39">
        <v>8</v>
      </c>
      <c r="W33" s="39">
        <v>8</v>
      </c>
      <c r="X33" s="39">
        <v>8</v>
      </c>
      <c r="Y33" s="39" t="s">
        <v>219</v>
      </c>
      <c r="Z33" s="39" t="s">
        <v>219</v>
      </c>
      <c r="AA33" s="39">
        <v>8</v>
      </c>
      <c r="AB33" s="39">
        <v>8</v>
      </c>
      <c r="AC33" s="39">
        <v>10</v>
      </c>
      <c r="AD33" s="39">
        <v>8</v>
      </c>
      <c r="AE33" s="39">
        <v>8</v>
      </c>
      <c r="AF33" s="39" t="s">
        <v>219</v>
      </c>
      <c r="AG33" s="47" t="str">
        <f>VLOOKUP(TRIM(LEFT(B33, FIND(" ", B33 &amp; " ")-1)) &amp; "*", Дані!$A$1:$F$70, 6, FALSE)</f>
        <v>ТКБ</v>
      </c>
      <c r="AH33" s="19" t="b">
        <f t="shared" si="0"/>
        <v>0</v>
      </c>
    </row>
    <row r="34" spans="2:34" ht="14.25">
      <c r="B34" s="25" t="s">
        <v>160</v>
      </c>
      <c r="C34" s="39">
        <v>8</v>
      </c>
      <c r="D34" s="39" t="s">
        <v>219</v>
      </c>
      <c r="E34" s="39" t="s">
        <v>219</v>
      </c>
      <c r="F34" s="39">
        <v>8</v>
      </c>
      <c r="G34" s="39">
        <v>8</v>
      </c>
      <c r="H34" s="39">
        <v>8</v>
      </c>
      <c r="I34" s="39">
        <v>8</v>
      </c>
      <c r="J34" s="39">
        <v>8</v>
      </c>
      <c r="K34" s="39" t="s">
        <v>219</v>
      </c>
      <c r="L34" s="39" t="s">
        <v>219</v>
      </c>
      <c r="M34" s="39" t="s">
        <v>220</v>
      </c>
      <c r="N34" s="39" t="s">
        <v>220</v>
      </c>
      <c r="O34" s="39" t="s">
        <v>220</v>
      </c>
      <c r="P34" s="39" t="s">
        <v>220</v>
      </c>
      <c r="Q34" s="39" t="s">
        <v>220</v>
      </c>
      <c r="R34" s="39" t="s">
        <v>219</v>
      </c>
      <c r="S34" s="39" t="s">
        <v>219</v>
      </c>
      <c r="T34" s="39">
        <v>8</v>
      </c>
      <c r="U34" s="39">
        <v>8</v>
      </c>
      <c r="V34" s="39">
        <v>8</v>
      </c>
      <c r="W34" s="39">
        <v>8</v>
      </c>
      <c r="X34" s="39" t="s">
        <v>226</v>
      </c>
      <c r="Y34" s="39" t="s">
        <v>219</v>
      </c>
      <c r="Z34" s="39" t="s">
        <v>219</v>
      </c>
      <c r="AA34" s="39" t="s">
        <v>222</v>
      </c>
      <c r="AB34" s="39" t="s">
        <v>222</v>
      </c>
      <c r="AC34" s="39" t="s">
        <v>222</v>
      </c>
      <c r="AD34" s="39" t="s">
        <v>222</v>
      </c>
      <c r="AE34" s="39">
        <v>8</v>
      </c>
      <c r="AF34" s="39" t="s">
        <v>219</v>
      </c>
      <c r="AG34" s="47" t="str">
        <f>VLOOKUP(TRIM(LEFT(B34, FIND(" ", B34 &amp; " ")-1)) &amp; "*", Дані!$A$1:$F$70, 6, FALSE)</f>
        <v>АПС</v>
      </c>
      <c r="AH34" s="19" t="b">
        <f t="shared" si="0"/>
        <v>1</v>
      </c>
    </row>
    <row r="35" spans="2:34" ht="14.25">
      <c r="B35" s="25" t="s">
        <v>161</v>
      </c>
      <c r="C35" s="39">
        <v>8</v>
      </c>
      <c r="D35" s="39" t="s">
        <v>219</v>
      </c>
      <c r="E35" s="39" t="s">
        <v>219</v>
      </c>
      <c r="F35" s="39" t="s">
        <v>221</v>
      </c>
      <c r="G35" s="39" t="s">
        <v>221</v>
      </c>
      <c r="H35" s="39" t="s">
        <v>221</v>
      </c>
      <c r="I35" s="39" t="s">
        <v>221</v>
      </c>
      <c r="J35" s="39">
        <v>10</v>
      </c>
      <c r="K35" s="39" t="s">
        <v>219</v>
      </c>
      <c r="L35" s="39" t="s">
        <v>219</v>
      </c>
      <c r="M35" s="39">
        <v>4</v>
      </c>
      <c r="N35" s="39">
        <v>6</v>
      </c>
      <c r="O35" s="39">
        <v>8</v>
      </c>
      <c r="P35" s="39">
        <v>6</v>
      </c>
      <c r="Q35" s="39">
        <v>4</v>
      </c>
      <c r="R35" s="39" t="s">
        <v>219</v>
      </c>
      <c r="S35" s="39" t="s">
        <v>221</v>
      </c>
      <c r="T35" s="39" t="s">
        <v>221</v>
      </c>
      <c r="U35" s="39" t="s">
        <v>221</v>
      </c>
      <c r="V35" s="39" t="s">
        <v>221</v>
      </c>
      <c r="W35" s="39">
        <v>8</v>
      </c>
      <c r="X35" s="39">
        <v>6</v>
      </c>
      <c r="Y35" s="39" t="s">
        <v>219</v>
      </c>
      <c r="Z35" s="39" t="s">
        <v>219</v>
      </c>
      <c r="AA35" s="39">
        <v>8</v>
      </c>
      <c r="AB35" s="39">
        <v>6</v>
      </c>
      <c r="AC35" s="39">
        <v>8</v>
      </c>
      <c r="AD35" s="39">
        <v>6</v>
      </c>
      <c r="AE35" s="39">
        <v>8</v>
      </c>
      <c r="AF35" s="39" t="s">
        <v>219</v>
      </c>
      <c r="AG35" s="47" t="str">
        <f>VLOOKUP(TRIM(LEFT(B35, FIND(" ", B35 &amp; " ")-1)) &amp; "*", Дані!$A$1:$F$70, 6, FALSE)</f>
        <v>ОТД</v>
      </c>
      <c r="AH35" s="19" t="b">
        <f t="shared" si="0"/>
        <v>0</v>
      </c>
    </row>
    <row r="36" spans="2:34" ht="14.25">
      <c r="B36" s="25" t="s">
        <v>162</v>
      </c>
      <c r="C36" s="39">
        <v>8</v>
      </c>
      <c r="D36" s="39" t="s">
        <v>219</v>
      </c>
      <c r="E36" s="39" t="s">
        <v>219</v>
      </c>
      <c r="F36" s="39" t="s">
        <v>220</v>
      </c>
      <c r="G36" s="39" t="s">
        <v>220</v>
      </c>
      <c r="H36" s="39" t="s">
        <v>220</v>
      </c>
      <c r="I36" s="39" t="s">
        <v>220</v>
      </c>
      <c r="J36" s="39">
        <v>4</v>
      </c>
      <c r="K36" s="39">
        <v>4</v>
      </c>
      <c r="L36" s="39">
        <v>4</v>
      </c>
      <c r="M36" s="39">
        <v>4</v>
      </c>
      <c r="N36" s="39">
        <v>6</v>
      </c>
      <c r="O36" s="39">
        <v>8</v>
      </c>
      <c r="P36" s="39">
        <v>6</v>
      </c>
      <c r="Q36" s="39">
        <v>4</v>
      </c>
      <c r="R36" s="39" t="s">
        <v>219</v>
      </c>
      <c r="S36" s="39" t="s">
        <v>221</v>
      </c>
      <c r="T36" s="39" t="s">
        <v>221</v>
      </c>
      <c r="U36" s="39" t="s">
        <v>221</v>
      </c>
      <c r="V36" s="39" t="s">
        <v>221</v>
      </c>
      <c r="W36" s="39">
        <v>8</v>
      </c>
      <c r="X36" s="39">
        <v>6</v>
      </c>
      <c r="Y36" s="39" t="s">
        <v>219</v>
      </c>
      <c r="Z36" s="39" t="s">
        <v>219</v>
      </c>
      <c r="AA36" s="39">
        <v>8</v>
      </c>
      <c r="AB36" s="39">
        <v>6</v>
      </c>
      <c r="AC36" s="39">
        <v>8</v>
      </c>
      <c r="AD36" s="39">
        <v>6</v>
      </c>
      <c r="AE36" s="39">
        <v>8</v>
      </c>
      <c r="AF36" s="39" t="s">
        <v>219</v>
      </c>
      <c r="AG36" s="47" t="str">
        <f>VLOOKUP(TRIM(LEFT(B36, FIND(" ", B36 &amp; " ")-1)) &amp; "*", Дані!$A$1:$F$70, 6, FALSE)</f>
        <v>ОНК</v>
      </c>
    </row>
    <row r="37" spans="2:34" ht="14.25">
      <c r="B37" s="25" t="s">
        <v>163</v>
      </c>
      <c r="C37" s="39" t="s">
        <v>222</v>
      </c>
      <c r="D37" s="39" t="s">
        <v>219</v>
      </c>
      <c r="E37" s="39" t="s">
        <v>219</v>
      </c>
      <c r="F37" s="39" t="s">
        <v>222</v>
      </c>
      <c r="G37" s="39" t="s">
        <v>222</v>
      </c>
      <c r="H37" s="39">
        <v>8</v>
      </c>
      <c r="I37" s="39">
        <v>8</v>
      </c>
      <c r="J37" s="39">
        <v>8</v>
      </c>
      <c r="K37" s="39" t="s">
        <v>219</v>
      </c>
      <c r="L37" s="39" t="s">
        <v>219</v>
      </c>
      <c r="M37" s="39" t="s">
        <v>221</v>
      </c>
      <c r="N37" s="39" t="s">
        <v>221</v>
      </c>
      <c r="O37" s="39" t="s">
        <v>222</v>
      </c>
      <c r="P37" s="39" t="s">
        <v>222</v>
      </c>
      <c r="Q37" s="39">
        <v>8</v>
      </c>
      <c r="R37" s="39" t="s">
        <v>219</v>
      </c>
      <c r="S37" s="39" t="s">
        <v>219</v>
      </c>
      <c r="T37" s="39">
        <v>8</v>
      </c>
      <c r="U37" s="39">
        <v>8</v>
      </c>
      <c r="V37" s="39">
        <v>8</v>
      </c>
      <c r="W37" s="39">
        <v>8</v>
      </c>
      <c r="X37" s="39">
        <v>8</v>
      </c>
      <c r="Y37" s="39" t="s">
        <v>219</v>
      </c>
      <c r="Z37" s="39" t="s">
        <v>219</v>
      </c>
      <c r="AA37" s="39">
        <v>8</v>
      </c>
      <c r="AB37" s="39">
        <v>8</v>
      </c>
      <c r="AC37" s="39">
        <v>10</v>
      </c>
      <c r="AD37" s="39">
        <v>8</v>
      </c>
      <c r="AE37" s="39">
        <v>8</v>
      </c>
      <c r="AF37" s="39" t="s">
        <v>219</v>
      </c>
      <c r="AG37" s="47" t="str">
        <f>VLOOKUP(TRIM(LEFT(B37, FIND(" ", B37 &amp; " ")-1)) &amp; "*", Дані!$A$1:$F$70, 6, FALSE)</f>
        <v>ОНК</v>
      </c>
    </row>
    <row r="38" spans="2:34" ht="14.25">
      <c r="B38" s="25" t="s">
        <v>164</v>
      </c>
      <c r="C38" s="39">
        <v>6</v>
      </c>
      <c r="D38" s="39" t="s">
        <v>219</v>
      </c>
      <c r="E38" s="39" t="s">
        <v>219</v>
      </c>
      <c r="F38" s="39">
        <v>8</v>
      </c>
      <c r="G38" s="39">
        <v>8</v>
      </c>
      <c r="H38" s="39">
        <v>8</v>
      </c>
      <c r="I38" s="39">
        <v>8</v>
      </c>
      <c r="J38" s="39">
        <v>8</v>
      </c>
      <c r="K38" s="39" t="s">
        <v>219</v>
      </c>
      <c r="L38" s="39" t="s">
        <v>219</v>
      </c>
      <c r="M38" s="39">
        <v>8</v>
      </c>
      <c r="N38" s="39">
        <v>8</v>
      </c>
      <c r="O38" s="39">
        <v>8</v>
      </c>
      <c r="P38" s="39">
        <v>8</v>
      </c>
      <c r="Q38" s="39">
        <v>8</v>
      </c>
      <c r="R38" s="39" t="s">
        <v>219</v>
      </c>
      <c r="S38" s="39" t="s">
        <v>219</v>
      </c>
      <c r="T38" s="39">
        <v>4</v>
      </c>
      <c r="U38" s="39">
        <v>4</v>
      </c>
      <c r="V38" s="39">
        <v>8</v>
      </c>
      <c r="W38" s="39">
        <v>8</v>
      </c>
      <c r="X38" s="39">
        <v>8</v>
      </c>
      <c r="Y38" s="39" t="s">
        <v>219</v>
      </c>
      <c r="Z38" s="39" t="s">
        <v>219</v>
      </c>
      <c r="AA38" s="39">
        <v>8</v>
      </c>
      <c r="AB38" s="39">
        <v>8</v>
      </c>
      <c r="AC38" s="39">
        <v>6</v>
      </c>
      <c r="AD38" s="39">
        <v>4</v>
      </c>
      <c r="AE38" s="39">
        <v>4</v>
      </c>
      <c r="AF38" s="39" t="s">
        <v>219</v>
      </c>
      <c r="AG38" s="47" t="str">
        <f>VLOOKUP(TRIM(LEFT(B38, FIND(" ", B38 &amp; " ")-1)) &amp; "*", Дані!$A$1:$F$70, 6, FALSE)</f>
        <v>ОТД</v>
      </c>
    </row>
    <row r="39" spans="2:34" ht="14.25">
      <c r="B39" s="25" t="s">
        <v>165</v>
      </c>
      <c r="C39" s="39" t="s">
        <v>222</v>
      </c>
      <c r="D39" s="39" t="s">
        <v>219</v>
      </c>
      <c r="E39" s="39" t="s">
        <v>219</v>
      </c>
      <c r="F39" s="39" t="s">
        <v>222</v>
      </c>
      <c r="G39" s="39" t="s">
        <v>222</v>
      </c>
      <c r="H39" s="39">
        <v>8</v>
      </c>
      <c r="I39" s="39">
        <v>8</v>
      </c>
      <c r="J39" s="39">
        <v>8</v>
      </c>
      <c r="K39" s="39" t="s">
        <v>219</v>
      </c>
      <c r="L39" s="39" t="s">
        <v>219</v>
      </c>
      <c r="M39" s="39">
        <v>4</v>
      </c>
      <c r="N39" s="39">
        <v>8</v>
      </c>
      <c r="O39" s="39">
        <v>8</v>
      </c>
      <c r="P39" s="39">
        <v>8</v>
      </c>
      <c r="Q39" s="39">
        <v>8</v>
      </c>
      <c r="R39" s="39" t="s">
        <v>219</v>
      </c>
      <c r="S39" s="39" t="s">
        <v>219</v>
      </c>
      <c r="T39" s="39" t="s">
        <v>221</v>
      </c>
      <c r="U39" s="39" t="s">
        <v>221</v>
      </c>
      <c r="V39" s="39">
        <v>4</v>
      </c>
      <c r="W39" s="39">
        <v>8</v>
      </c>
      <c r="X39" s="39">
        <v>8</v>
      </c>
      <c r="Y39" s="39" t="s">
        <v>219</v>
      </c>
      <c r="Z39" s="39" t="s">
        <v>219</v>
      </c>
      <c r="AA39" s="39">
        <v>8</v>
      </c>
      <c r="AB39" s="39">
        <v>8</v>
      </c>
      <c r="AC39" s="39">
        <v>8</v>
      </c>
      <c r="AD39" s="39">
        <v>8</v>
      </c>
      <c r="AE39" s="39">
        <v>8</v>
      </c>
      <c r="AF39" s="39" t="s">
        <v>219</v>
      </c>
      <c r="AG39" s="47" t="str">
        <f>VLOOKUP(TRIM(LEFT(B39, FIND(" ", B39 &amp; " ")-1)) &amp; "*", Дані!$A$1:$F$70, 6, FALSE)</f>
        <v>ОТД</v>
      </c>
    </row>
    <row r="40" spans="2:34" ht="14.25">
      <c r="B40" s="25" t="s">
        <v>166</v>
      </c>
      <c r="C40" s="39">
        <v>8</v>
      </c>
      <c r="D40" s="39">
        <v>7</v>
      </c>
      <c r="E40" s="39" t="s">
        <v>219</v>
      </c>
      <c r="F40" s="39" t="s">
        <v>221</v>
      </c>
      <c r="G40" s="39" t="s">
        <v>221</v>
      </c>
      <c r="H40" s="39">
        <v>8</v>
      </c>
      <c r="I40" s="39">
        <v>6</v>
      </c>
      <c r="J40" s="39">
        <v>8</v>
      </c>
      <c r="K40" s="39" t="s">
        <v>219</v>
      </c>
      <c r="L40" s="39">
        <v>7</v>
      </c>
      <c r="M40" s="39">
        <v>8</v>
      </c>
      <c r="N40" s="39">
        <v>8</v>
      </c>
      <c r="O40" s="39">
        <v>8</v>
      </c>
      <c r="P40" s="39">
        <v>8</v>
      </c>
      <c r="Q40" s="39">
        <v>8</v>
      </c>
      <c r="R40" s="39" t="s">
        <v>219</v>
      </c>
      <c r="S40" s="39" t="s">
        <v>219</v>
      </c>
      <c r="T40" s="39">
        <v>8</v>
      </c>
      <c r="U40" s="39">
        <v>8</v>
      </c>
      <c r="V40" s="39">
        <v>8</v>
      </c>
      <c r="W40" s="39" t="s">
        <v>222</v>
      </c>
      <c r="X40" s="39" t="s">
        <v>222</v>
      </c>
      <c r="Y40" s="39" t="s">
        <v>219</v>
      </c>
      <c r="Z40" s="39" t="s">
        <v>219</v>
      </c>
      <c r="AA40" s="39">
        <v>8</v>
      </c>
      <c r="AB40" s="39">
        <v>8</v>
      </c>
      <c r="AC40" s="39">
        <v>8</v>
      </c>
      <c r="AD40" s="39">
        <v>8</v>
      </c>
      <c r="AE40" s="39">
        <v>8</v>
      </c>
      <c r="AF40" s="39" t="s">
        <v>219</v>
      </c>
      <c r="AG40" s="47" t="str">
        <f>VLOOKUP(TRIM(LEFT(B40, FIND(" ", B40 &amp; " ")-1)) &amp; "*", Дані!$A$1:$F$70, 6, FALSE)</f>
        <v>ОТД</v>
      </c>
    </row>
    <row r="41" spans="2:34" ht="14.25">
      <c r="B41" s="25" t="s">
        <v>167</v>
      </c>
      <c r="C41" s="39">
        <v>8</v>
      </c>
      <c r="D41" s="39" t="s">
        <v>219</v>
      </c>
      <c r="E41" s="39" t="s">
        <v>219</v>
      </c>
      <c r="F41" s="39">
        <v>8</v>
      </c>
      <c r="G41" s="39">
        <v>8</v>
      </c>
      <c r="H41" s="39">
        <v>8</v>
      </c>
      <c r="I41" s="39">
        <v>8</v>
      </c>
      <c r="J41" s="39">
        <v>8</v>
      </c>
      <c r="K41" s="39" t="s">
        <v>219</v>
      </c>
      <c r="L41" s="39" t="s">
        <v>219</v>
      </c>
      <c r="M41" s="39" t="s">
        <v>220</v>
      </c>
      <c r="N41" s="39" t="s">
        <v>220</v>
      </c>
      <c r="O41" s="39" t="s">
        <v>220</v>
      </c>
      <c r="P41" s="39" t="s">
        <v>220</v>
      </c>
      <c r="Q41" s="39" t="s">
        <v>220</v>
      </c>
      <c r="R41" s="39" t="s">
        <v>219</v>
      </c>
      <c r="S41" s="39" t="s">
        <v>219</v>
      </c>
      <c r="T41" s="39">
        <v>8</v>
      </c>
      <c r="U41" s="39">
        <v>8</v>
      </c>
      <c r="V41" s="39">
        <v>8</v>
      </c>
      <c r="W41" s="39">
        <v>8</v>
      </c>
      <c r="X41" s="39" t="s">
        <v>226</v>
      </c>
      <c r="Y41" s="39" t="s">
        <v>219</v>
      </c>
      <c r="Z41" s="39" t="s">
        <v>219</v>
      </c>
      <c r="AA41" s="39" t="s">
        <v>222</v>
      </c>
      <c r="AB41" s="39" t="s">
        <v>222</v>
      </c>
      <c r="AC41" s="39" t="s">
        <v>222</v>
      </c>
      <c r="AD41" s="39" t="s">
        <v>222</v>
      </c>
      <c r="AE41" s="39">
        <v>8</v>
      </c>
      <c r="AF41" s="39" t="s">
        <v>219</v>
      </c>
      <c r="AG41" s="47" t="str">
        <f>VLOOKUP(TRIM(LEFT(B41, FIND(" ", B41 &amp; " ")-1)) &amp; "*", Дані!$A$1:$F$70, 6, FALSE)</f>
        <v>ОТД</v>
      </c>
    </row>
    <row r="42" spans="2:34" ht="14.25">
      <c r="B42" s="25" t="s">
        <v>168</v>
      </c>
      <c r="C42" s="39">
        <v>6</v>
      </c>
      <c r="D42" s="39" t="s">
        <v>219</v>
      </c>
      <c r="E42" s="39" t="s">
        <v>219</v>
      </c>
      <c r="F42" s="39">
        <v>8</v>
      </c>
      <c r="G42" s="39">
        <v>8</v>
      </c>
      <c r="H42" s="39">
        <v>8</v>
      </c>
      <c r="I42" s="39">
        <v>8</v>
      </c>
      <c r="J42" s="39">
        <v>8</v>
      </c>
      <c r="K42" s="39" t="s">
        <v>219</v>
      </c>
      <c r="L42" s="39" t="s">
        <v>219</v>
      </c>
      <c r="M42" s="39">
        <v>8</v>
      </c>
      <c r="N42" s="39">
        <v>8</v>
      </c>
      <c r="O42" s="39">
        <v>8</v>
      </c>
      <c r="P42" s="39">
        <v>8</v>
      </c>
      <c r="Q42" s="39">
        <v>8</v>
      </c>
      <c r="R42" s="39" t="s">
        <v>219</v>
      </c>
      <c r="S42" s="39" t="s">
        <v>219</v>
      </c>
      <c r="T42" s="39">
        <v>4</v>
      </c>
      <c r="U42" s="39">
        <v>4</v>
      </c>
      <c r="V42" s="39">
        <v>8</v>
      </c>
      <c r="W42" s="39">
        <v>8</v>
      </c>
      <c r="X42" s="39">
        <v>8</v>
      </c>
      <c r="Y42" s="39" t="s">
        <v>219</v>
      </c>
      <c r="Z42" s="39">
        <v>7</v>
      </c>
      <c r="AA42" s="39">
        <v>8</v>
      </c>
      <c r="AB42" s="39">
        <v>8</v>
      </c>
      <c r="AC42" s="39">
        <v>6</v>
      </c>
      <c r="AD42" s="39">
        <v>4</v>
      </c>
      <c r="AE42" s="39">
        <v>4</v>
      </c>
      <c r="AF42" s="39" t="s">
        <v>219</v>
      </c>
      <c r="AG42" s="47" t="str">
        <f>VLOOKUP(TRIM(LEFT(B42, FIND(" ", B42 &amp; " ")-1)) &amp; "*", Дані!$A$1:$F$70, 6, FALSE)</f>
        <v>ТКБ</v>
      </c>
    </row>
    <row r="43" spans="2:34" ht="14.25">
      <c r="B43" s="25" t="s">
        <v>169</v>
      </c>
      <c r="C43" s="39" t="s">
        <v>226</v>
      </c>
      <c r="D43" s="39" t="s">
        <v>219</v>
      </c>
      <c r="E43" s="39" t="s">
        <v>219</v>
      </c>
      <c r="F43" s="39" t="s">
        <v>221</v>
      </c>
      <c r="G43" s="39" t="s">
        <v>221</v>
      </c>
      <c r="H43" s="39" t="s">
        <v>221</v>
      </c>
      <c r="I43" s="39" t="s">
        <v>221</v>
      </c>
      <c r="J43" s="39" t="s">
        <v>221</v>
      </c>
      <c r="K43" s="39" t="s">
        <v>219</v>
      </c>
      <c r="L43" s="39" t="s">
        <v>219</v>
      </c>
      <c r="M43" s="39">
        <v>4</v>
      </c>
      <c r="N43" s="39">
        <v>6</v>
      </c>
      <c r="O43" s="39">
        <v>8</v>
      </c>
      <c r="P43" s="39">
        <v>6</v>
      </c>
      <c r="Q43" s="39">
        <v>4</v>
      </c>
      <c r="R43" s="39" t="s">
        <v>226</v>
      </c>
      <c r="S43" s="39" t="s">
        <v>219</v>
      </c>
      <c r="T43" s="39">
        <v>6</v>
      </c>
      <c r="U43" s="39">
        <v>8</v>
      </c>
      <c r="V43" s="39">
        <v>6</v>
      </c>
      <c r="W43" s="39">
        <v>8</v>
      </c>
      <c r="X43" s="39">
        <v>6</v>
      </c>
      <c r="Y43" s="39" t="s">
        <v>219</v>
      </c>
      <c r="Z43" s="39" t="s">
        <v>219</v>
      </c>
      <c r="AA43" s="39">
        <v>8</v>
      </c>
      <c r="AB43" s="39">
        <v>6</v>
      </c>
      <c r="AC43" s="39">
        <v>8</v>
      </c>
      <c r="AD43" s="39">
        <v>6</v>
      </c>
      <c r="AE43" s="39">
        <v>8</v>
      </c>
      <c r="AF43" s="39" t="s">
        <v>219</v>
      </c>
      <c r="AG43" s="47" t="str">
        <f>VLOOKUP(TRIM(LEFT(B43, FIND(" ", B43 &amp; " ")-1)) &amp; "*", Дані!$A$1:$F$70, 6, FALSE)</f>
        <v>ТКБ</v>
      </c>
    </row>
    <row r="44" spans="2:34" ht="14.25">
      <c r="B44" s="25" t="s">
        <v>170</v>
      </c>
      <c r="C44" s="39">
        <v>8</v>
      </c>
      <c r="D44" s="39" t="s">
        <v>219</v>
      </c>
      <c r="E44" s="39" t="s">
        <v>219</v>
      </c>
      <c r="F44" s="39" t="s">
        <v>220</v>
      </c>
      <c r="G44" s="39" t="s">
        <v>220</v>
      </c>
      <c r="H44" s="39" t="s">
        <v>220</v>
      </c>
      <c r="I44" s="39" t="s">
        <v>220</v>
      </c>
      <c r="J44" s="39">
        <v>4</v>
      </c>
      <c r="K44" s="39">
        <v>4</v>
      </c>
      <c r="L44" s="39">
        <v>4</v>
      </c>
      <c r="M44" s="39">
        <v>4</v>
      </c>
      <c r="N44" s="39">
        <v>6</v>
      </c>
      <c r="O44" s="39">
        <v>8</v>
      </c>
      <c r="P44" s="39">
        <v>6</v>
      </c>
      <c r="Q44" s="39">
        <v>4</v>
      </c>
      <c r="R44" s="39" t="s">
        <v>219</v>
      </c>
      <c r="S44" s="39" t="s">
        <v>221</v>
      </c>
      <c r="T44" s="39" t="s">
        <v>221</v>
      </c>
      <c r="U44" s="39" t="s">
        <v>221</v>
      </c>
      <c r="V44" s="39" t="s">
        <v>221</v>
      </c>
      <c r="W44" s="39">
        <v>8</v>
      </c>
      <c r="X44" s="39">
        <v>6</v>
      </c>
      <c r="Y44" s="39" t="s">
        <v>219</v>
      </c>
      <c r="Z44" s="39" t="s">
        <v>219</v>
      </c>
      <c r="AA44" s="39">
        <v>8</v>
      </c>
      <c r="AB44" s="39">
        <v>6</v>
      </c>
      <c r="AC44" s="39">
        <v>8</v>
      </c>
      <c r="AD44" s="39">
        <v>6</v>
      </c>
      <c r="AE44" s="39">
        <v>8</v>
      </c>
      <c r="AF44" s="39" t="s">
        <v>219</v>
      </c>
      <c r="AG44" s="47" t="str">
        <f>VLOOKUP(TRIM(LEFT(B44, FIND(" ", B44 &amp; " ")-1)) &amp; "*", Дані!$A$1:$F$70, 6, FALSE)</f>
        <v>ОТД</v>
      </c>
    </row>
    <row r="45" spans="2:34" ht="14.25">
      <c r="B45" s="25" t="s">
        <v>171</v>
      </c>
      <c r="C45" s="39">
        <v>8</v>
      </c>
      <c r="D45" s="39" t="s">
        <v>219</v>
      </c>
      <c r="E45" s="39" t="s">
        <v>219</v>
      </c>
      <c r="F45" s="39" t="s">
        <v>221</v>
      </c>
      <c r="G45" s="39" t="s">
        <v>221</v>
      </c>
      <c r="H45" s="39" t="s">
        <v>221</v>
      </c>
      <c r="I45" s="39" t="s">
        <v>221</v>
      </c>
      <c r="J45" s="39">
        <v>10</v>
      </c>
      <c r="K45" s="39" t="s">
        <v>219</v>
      </c>
      <c r="L45" s="39" t="s">
        <v>219</v>
      </c>
      <c r="M45" s="39">
        <v>4</v>
      </c>
      <c r="N45" s="39">
        <v>6</v>
      </c>
      <c r="O45" s="39">
        <v>8</v>
      </c>
      <c r="P45" s="39">
        <v>6</v>
      </c>
      <c r="Q45" s="39">
        <v>4</v>
      </c>
      <c r="R45" s="39" t="s">
        <v>219</v>
      </c>
      <c r="S45" s="39" t="s">
        <v>221</v>
      </c>
      <c r="T45" s="39" t="s">
        <v>221</v>
      </c>
      <c r="U45" s="39" t="s">
        <v>221</v>
      </c>
      <c r="V45" s="39" t="s">
        <v>221</v>
      </c>
      <c r="W45" s="39">
        <v>8</v>
      </c>
      <c r="X45" s="39">
        <v>6</v>
      </c>
      <c r="Y45" s="39" t="s">
        <v>219</v>
      </c>
      <c r="Z45" s="39" t="s">
        <v>219</v>
      </c>
      <c r="AA45" s="39">
        <v>8</v>
      </c>
      <c r="AB45" s="39">
        <v>6</v>
      </c>
      <c r="AC45" s="39">
        <v>8</v>
      </c>
      <c r="AD45" s="39">
        <v>6</v>
      </c>
      <c r="AE45" s="39">
        <v>8</v>
      </c>
      <c r="AF45" s="39" t="s">
        <v>219</v>
      </c>
      <c r="AG45" s="47" t="str">
        <f>VLOOKUP(TRIM(LEFT(B45, FIND(" ", B45 &amp; " ")-1)) &amp; "*", Дані!$A$1:$F$70, 6, FALSE)</f>
        <v>ОТД</v>
      </c>
    </row>
    <row r="46" spans="2:34" ht="14.25">
      <c r="B46" s="25" t="s">
        <v>172</v>
      </c>
      <c r="C46" s="39">
        <v>8</v>
      </c>
      <c r="D46" s="39" t="s">
        <v>219</v>
      </c>
      <c r="E46" s="39" t="s">
        <v>219</v>
      </c>
      <c r="F46" s="39">
        <v>8</v>
      </c>
      <c r="G46" s="39">
        <v>8</v>
      </c>
      <c r="H46" s="39">
        <v>8</v>
      </c>
      <c r="I46" s="39">
        <v>8</v>
      </c>
      <c r="J46" s="39" t="s">
        <v>226</v>
      </c>
      <c r="K46" s="39" t="s">
        <v>219</v>
      </c>
      <c r="L46" s="39" t="s">
        <v>219</v>
      </c>
      <c r="M46" s="39" t="s">
        <v>220</v>
      </c>
      <c r="N46" s="39" t="s">
        <v>220</v>
      </c>
      <c r="O46" s="39" t="s">
        <v>220</v>
      </c>
      <c r="P46" s="39" t="s">
        <v>220</v>
      </c>
      <c r="Q46" s="39" t="s">
        <v>220</v>
      </c>
      <c r="R46" s="39" t="s">
        <v>219</v>
      </c>
      <c r="S46" s="39" t="s">
        <v>219</v>
      </c>
      <c r="T46" s="39">
        <v>8</v>
      </c>
      <c r="U46" s="39">
        <v>8</v>
      </c>
      <c r="V46" s="39">
        <v>8</v>
      </c>
      <c r="W46" s="39">
        <v>8</v>
      </c>
      <c r="X46" s="39" t="s">
        <v>226</v>
      </c>
      <c r="Y46" s="39">
        <v>7</v>
      </c>
      <c r="Z46" s="39" t="s">
        <v>219</v>
      </c>
      <c r="AA46" s="39" t="s">
        <v>222</v>
      </c>
      <c r="AB46" s="39" t="s">
        <v>222</v>
      </c>
      <c r="AC46" s="39" t="s">
        <v>222</v>
      </c>
      <c r="AD46" s="39" t="s">
        <v>222</v>
      </c>
      <c r="AE46" s="39">
        <v>8</v>
      </c>
      <c r="AF46" s="39" t="s">
        <v>219</v>
      </c>
      <c r="AG46" s="47" t="str">
        <f>VLOOKUP(TRIM(LEFT(B46, FIND(" ", B46 &amp; " ")-1)) &amp; "*", Дані!$A$1:$F$70, 6, FALSE)</f>
        <v>ОНК</v>
      </c>
    </row>
    <row r="47" spans="2:34" ht="14.25">
      <c r="B47" s="25" t="s">
        <v>173</v>
      </c>
      <c r="C47" s="39">
        <v>8</v>
      </c>
      <c r="D47" s="39" t="s">
        <v>219</v>
      </c>
      <c r="E47" s="39" t="s">
        <v>219</v>
      </c>
      <c r="F47" s="39">
        <v>8</v>
      </c>
      <c r="G47" s="39">
        <v>8</v>
      </c>
      <c r="H47" s="39">
        <v>8</v>
      </c>
      <c r="I47" s="39">
        <v>8</v>
      </c>
      <c r="J47" s="39">
        <v>8</v>
      </c>
      <c r="K47" s="39" t="s">
        <v>219</v>
      </c>
      <c r="L47" s="39" t="s">
        <v>219</v>
      </c>
      <c r="M47" s="39" t="s">
        <v>220</v>
      </c>
      <c r="N47" s="39" t="s">
        <v>220</v>
      </c>
      <c r="O47" s="39" t="s">
        <v>220</v>
      </c>
      <c r="P47" s="39" t="s">
        <v>220</v>
      </c>
      <c r="Q47" s="39" t="s">
        <v>220</v>
      </c>
      <c r="R47" s="39" t="s">
        <v>219</v>
      </c>
      <c r="S47" s="39" t="s">
        <v>219</v>
      </c>
      <c r="T47" s="39">
        <v>8</v>
      </c>
      <c r="U47" s="39">
        <v>8</v>
      </c>
      <c r="V47" s="39">
        <v>8</v>
      </c>
      <c r="W47" s="39">
        <v>8</v>
      </c>
      <c r="X47" s="39" t="s">
        <v>226</v>
      </c>
      <c r="Y47" s="39" t="s">
        <v>219</v>
      </c>
      <c r="Z47" s="39" t="s">
        <v>219</v>
      </c>
      <c r="AA47" s="39" t="s">
        <v>222</v>
      </c>
      <c r="AB47" s="39" t="s">
        <v>222</v>
      </c>
      <c r="AC47" s="39" t="s">
        <v>222</v>
      </c>
      <c r="AD47" s="39" t="s">
        <v>222</v>
      </c>
      <c r="AE47" s="39">
        <v>8</v>
      </c>
      <c r="AF47" s="39" t="s">
        <v>219</v>
      </c>
      <c r="AG47" s="47" t="str">
        <f>VLOOKUP(TRIM(LEFT(B47, FIND(" ", B47 &amp; " ")-1)) &amp; "*", Дані!$A$1:$F$70, 6, FALSE)</f>
        <v>ОТД</v>
      </c>
    </row>
    <row r="48" spans="2:34" ht="14.25">
      <c r="B48" s="25" t="s">
        <v>174</v>
      </c>
      <c r="C48" s="39">
        <v>6</v>
      </c>
      <c r="D48" s="39" t="s">
        <v>219</v>
      </c>
      <c r="E48" s="39" t="s">
        <v>219</v>
      </c>
      <c r="F48" s="39">
        <v>8</v>
      </c>
      <c r="G48" s="39">
        <v>8</v>
      </c>
      <c r="H48" s="39">
        <v>8</v>
      </c>
      <c r="I48" s="39">
        <v>8</v>
      </c>
      <c r="J48" s="39">
        <v>8</v>
      </c>
      <c r="K48" s="39" t="s">
        <v>219</v>
      </c>
      <c r="L48" s="39" t="s">
        <v>219</v>
      </c>
      <c r="M48" s="39">
        <v>8</v>
      </c>
      <c r="N48" s="39">
        <v>8</v>
      </c>
      <c r="O48" s="39">
        <v>8</v>
      </c>
      <c r="P48" s="39">
        <v>8</v>
      </c>
      <c r="Q48" s="39">
        <v>8</v>
      </c>
      <c r="R48" s="39" t="s">
        <v>219</v>
      </c>
      <c r="S48" s="39" t="s">
        <v>219</v>
      </c>
      <c r="T48" s="39">
        <v>4</v>
      </c>
      <c r="U48" s="39">
        <v>4</v>
      </c>
      <c r="V48" s="39">
        <v>8</v>
      </c>
      <c r="W48" s="39">
        <v>8</v>
      </c>
      <c r="X48" s="39">
        <v>8</v>
      </c>
      <c r="Y48" s="39" t="s">
        <v>219</v>
      </c>
      <c r="Z48" s="39" t="s">
        <v>219</v>
      </c>
      <c r="AA48" s="39">
        <v>8</v>
      </c>
      <c r="AB48" s="39">
        <v>8</v>
      </c>
      <c r="AC48" s="39">
        <v>6</v>
      </c>
      <c r="AD48" s="39">
        <v>4</v>
      </c>
      <c r="AE48" s="39">
        <v>4</v>
      </c>
      <c r="AF48" s="39" t="s">
        <v>219</v>
      </c>
      <c r="AG48" s="47" t="str">
        <f>VLOOKUP(TRIM(LEFT(B48, FIND(" ", B48 &amp; " ")-1)) &amp; "*", Дані!$A$1:$F$70, 6, FALSE)</f>
        <v>ТКБ</v>
      </c>
    </row>
    <row r="49" spans="2:33" ht="14.25">
      <c r="B49" s="25" t="s">
        <v>175</v>
      </c>
      <c r="C49" s="39">
        <v>8</v>
      </c>
      <c r="D49" s="39" t="s">
        <v>219</v>
      </c>
      <c r="E49" s="39" t="s">
        <v>219</v>
      </c>
      <c r="F49" s="39" t="s">
        <v>220</v>
      </c>
      <c r="G49" s="39" t="s">
        <v>220</v>
      </c>
      <c r="H49" s="39" t="s">
        <v>220</v>
      </c>
      <c r="I49" s="39" t="s">
        <v>220</v>
      </c>
      <c r="J49" s="39">
        <v>4</v>
      </c>
      <c r="K49" s="39">
        <v>4</v>
      </c>
      <c r="L49" s="39">
        <v>4</v>
      </c>
      <c r="M49" s="39">
        <v>4</v>
      </c>
      <c r="N49" s="39">
        <v>6</v>
      </c>
      <c r="O49" s="39">
        <v>8</v>
      </c>
      <c r="P49" s="39">
        <v>6</v>
      </c>
      <c r="Q49" s="39">
        <v>4</v>
      </c>
      <c r="R49" s="39" t="s">
        <v>219</v>
      </c>
      <c r="S49" s="39" t="s">
        <v>221</v>
      </c>
      <c r="T49" s="39" t="s">
        <v>221</v>
      </c>
      <c r="U49" s="39" t="s">
        <v>221</v>
      </c>
      <c r="V49" s="39" t="s">
        <v>221</v>
      </c>
      <c r="W49" s="39">
        <v>8</v>
      </c>
      <c r="X49" s="39" t="s">
        <v>226</v>
      </c>
      <c r="Y49" s="39" t="s">
        <v>219</v>
      </c>
      <c r="Z49" s="39" t="s">
        <v>219</v>
      </c>
      <c r="AA49" s="39">
        <v>8</v>
      </c>
      <c r="AB49" s="39">
        <v>6</v>
      </c>
      <c r="AC49" s="39">
        <v>8</v>
      </c>
      <c r="AD49" s="39">
        <v>6</v>
      </c>
      <c r="AE49" s="39">
        <v>8</v>
      </c>
      <c r="AF49" s="39" t="s">
        <v>219</v>
      </c>
      <c r="AG49" s="47" t="str">
        <f>VLOOKUP(TRIM(LEFT(B49, FIND(" ", B49 &amp; " ")-1)) &amp; "*", Дані!$A$1:$F$70, 6, FALSE)</f>
        <v>ОНК</v>
      </c>
    </row>
    <row r="50" spans="2:33" ht="14.25">
      <c r="B50" s="25" t="s">
        <v>176</v>
      </c>
      <c r="C50" s="39">
        <v>8</v>
      </c>
      <c r="D50" s="39" t="s">
        <v>219</v>
      </c>
      <c r="E50" s="39" t="s">
        <v>219</v>
      </c>
      <c r="F50" s="39">
        <v>8</v>
      </c>
      <c r="G50" s="39">
        <v>8</v>
      </c>
      <c r="H50" s="39">
        <v>8</v>
      </c>
      <c r="I50" s="39">
        <v>8</v>
      </c>
      <c r="J50" s="39">
        <v>8</v>
      </c>
      <c r="K50" s="39" t="s">
        <v>219</v>
      </c>
      <c r="L50" s="39">
        <v>4</v>
      </c>
      <c r="M50" s="39">
        <v>4</v>
      </c>
      <c r="N50" s="39" t="s">
        <v>219</v>
      </c>
      <c r="O50" s="39" t="s">
        <v>219</v>
      </c>
      <c r="P50" s="39" t="s">
        <v>219</v>
      </c>
      <c r="Q50" s="39">
        <v>4</v>
      </c>
      <c r="R50" s="39" t="s">
        <v>219</v>
      </c>
      <c r="S50" s="39">
        <v>8</v>
      </c>
      <c r="T50" s="39">
        <v>8</v>
      </c>
      <c r="U50" s="39">
        <v>8</v>
      </c>
      <c r="V50" s="39">
        <v>8</v>
      </c>
      <c r="W50" s="39" t="s">
        <v>219</v>
      </c>
      <c r="X50" s="39" t="s">
        <v>219</v>
      </c>
      <c r="Y50" s="39" t="s">
        <v>219</v>
      </c>
      <c r="Z50" s="39" t="s">
        <v>219</v>
      </c>
      <c r="AA50" s="39">
        <v>8</v>
      </c>
      <c r="AB50" s="39">
        <v>6</v>
      </c>
      <c r="AC50" s="39">
        <v>8</v>
      </c>
      <c r="AD50" s="39">
        <v>6</v>
      </c>
      <c r="AE50" s="39">
        <v>8</v>
      </c>
      <c r="AF50" s="39" t="s">
        <v>219</v>
      </c>
      <c r="AG50" s="47" t="str">
        <f>VLOOKUP(TRIM(LEFT(B50, FIND(" ", B50 &amp; " ")-1)) &amp; "*", Дані!$A$1:$F$70, 6, FALSE)</f>
        <v>ТКБ</v>
      </c>
    </row>
    <row r="51" spans="2:33" ht="14.25">
      <c r="B51" s="25" t="s">
        <v>177</v>
      </c>
      <c r="C51" s="39">
        <v>8</v>
      </c>
      <c r="D51" s="39" t="s">
        <v>219</v>
      </c>
      <c r="E51" s="39" t="s">
        <v>219</v>
      </c>
      <c r="F51" s="39">
        <v>8</v>
      </c>
      <c r="G51" s="39">
        <v>8</v>
      </c>
      <c r="H51" s="39">
        <v>8</v>
      </c>
      <c r="I51" s="39">
        <v>8</v>
      </c>
      <c r="J51" s="39">
        <v>8</v>
      </c>
      <c r="K51" s="39" t="s">
        <v>219</v>
      </c>
      <c r="L51" s="39">
        <v>4</v>
      </c>
      <c r="M51" s="39">
        <v>4</v>
      </c>
      <c r="N51" s="39" t="s">
        <v>219</v>
      </c>
      <c r="O51" s="39" t="s">
        <v>219</v>
      </c>
      <c r="P51" s="39" t="s">
        <v>219</v>
      </c>
      <c r="Q51" s="39">
        <v>4</v>
      </c>
      <c r="R51" s="39" t="s">
        <v>219</v>
      </c>
      <c r="S51" s="39" t="s">
        <v>221</v>
      </c>
      <c r="T51" s="39" t="s">
        <v>221</v>
      </c>
      <c r="U51" s="39" t="s">
        <v>221</v>
      </c>
      <c r="V51" s="39" t="s">
        <v>221</v>
      </c>
      <c r="W51" s="39">
        <v>8</v>
      </c>
      <c r="X51" s="39">
        <v>6</v>
      </c>
      <c r="Y51" s="39" t="s">
        <v>219</v>
      </c>
      <c r="Z51" s="39" t="s">
        <v>219</v>
      </c>
      <c r="AA51" s="39">
        <v>8</v>
      </c>
      <c r="AB51" s="39">
        <v>6</v>
      </c>
      <c r="AC51" s="39">
        <v>8</v>
      </c>
      <c r="AD51" s="39">
        <v>6</v>
      </c>
      <c r="AE51" s="39">
        <v>8</v>
      </c>
      <c r="AF51" s="39" t="s">
        <v>219</v>
      </c>
      <c r="AG51" s="47" t="str">
        <f>VLOOKUP(TRIM(LEFT(B51, FIND(" ", B51 &amp; " ")-1)) &amp; "*", Дані!$A$1:$F$70, 6, FALSE)</f>
        <v>ОТД</v>
      </c>
    </row>
    <row r="52" spans="2:33" ht="14.25">
      <c r="B52" s="25" t="s">
        <v>178</v>
      </c>
      <c r="C52" s="39" t="s">
        <v>222</v>
      </c>
      <c r="D52" s="39" t="s">
        <v>219</v>
      </c>
      <c r="E52" s="39" t="s">
        <v>219</v>
      </c>
      <c r="F52" s="39" t="s">
        <v>222</v>
      </c>
      <c r="G52" s="39" t="s">
        <v>222</v>
      </c>
      <c r="H52" s="39">
        <v>8</v>
      </c>
      <c r="I52" s="39">
        <v>8</v>
      </c>
      <c r="J52" s="39">
        <v>8</v>
      </c>
      <c r="K52" s="39" t="s">
        <v>219</v>
      </c>
      <c r="L52" s="39" t="s">
        <v>219</v>
      </c>
      <c r="M52" s="39" t="s">
        <v>221</v>
      </c>
      <c r="N52" s="39" t="s">
        <v>221</v>
      </c>
      <c r="O52" s="39" t="s">
        <v>222</v>
      </c>
      <c r="P52" s="39" t="s">
        <v>222</v>
      </c>
      <c r="Q52" s="39">
        <v>8</v>
      </c>
      <c r="R52" s="39" t="s">
        <v>219</v>
      </c>
      <c r="S52" s="39" t="s">
        <v>219</v>
      </c>
      <c r="T52" s="39">
        <v>8</v>
      </c>
      <c r="U52" s="39">
        <v>8</v>
      </c>
      <c r="V52" s="39">
        <v>8</v>
      </c>
      <c r="W52" s="39">
        <v>8</v>
      </c>
      <c r="X52" s="39">
        <v>8</v>
      </c>
      <c r="Y52" s="39" t="s">
        <v>219</v>
      </c>
      <c r="Z52" s="39" t="s">
        <v>219</v>
      </c>
      <c r="AA52" s="39">
        <v>8</v>
      </c>
      <c r="AB52" s="39">
        <v>8</v>
      </c>
      <c r="AC52" s="39">
        <v>10</v>
      </c>
      <c r="AD52" s="39">
        <v>8</v>
      </c>
      <c r="AE52" s="39">
        <v>8</v>
      </c>
      <c r="AF52" s="39" t="s">
        <v>219</v>
      </c>
      <c r="AG52" s="47" t="str">
        <f>VLOOKUP(TRIM(LEFT(B52, FIND(" ", B52 &amp; " ")-1)) &amp; "*", Дані!$A$1:$F$70, 6, FALSE)</f>
        <v>АПС</v>
      </c>
    </row>
    <row r="53" spans="2:33" ht="14.25">
      <c r="B53" s="25" t="s">
        <v>179</v>
      </c>
      <c r="C53" s="39">
        <v>8</v>
      </c>
      <c r="D53" s="39" t="s">
        <v>219</v>
      </c>
      <c r="E53" s="39">
        <v>7</v>
      </c>
      <c r="F53" s="39" t="s">
        <v>221</v>
      </c>
      <c r="G53" s="39" t="s">
        <v>221</v>
      </c>
      <c r="H53" s="39" t="s">
        <v>221</v>
      </c>
      <c r="I53" s="39" t="s">
        <v>221</v>
      </c>
      <c r="J53" s="39" t="s">
        <v>221</v>
      </c>
      <c r="K53" s="39" t="s">
        <v>219</v>
      </c>
      <c r="L53" s="39" t="s">
        <v>219</v>
      </c>
      <c r="M53" s="39">
        <v>4</v>
      </c>
      <c r="N53" s="39">
        <v>6</v>
      </c>
      <c r="O53" s="39">
        <v>8</v>
      </c>
      <c r="P53" s="39">
        <v>6</v>
      </c>
      <c r="Q53" s="39">
        <v>4</v>
      </c>
      <c r="R53" s="39" t="s">
        <v>219</v>
      </c>
      <c r="S53" s="39" t="s">
        <v>219</v>
      </c>
      <c r="T53" s="39">
        <v>6</v>
      </c>
      <c r="U53" s="39">
        <v>8</v>
      </c>
      <c r="V53" s="39">
        <v>6</v>
      </c>
      <c r="W53" s="39">
        <v>8</v>
      </c>
      <c r="X53" s="39">
        <v>6</v>
      </c>
      <c r="Y53" s="39" t="s">
        <v>219</v>
      </c>
      <c r="Z53" s="39" t="s">
        <v>219</v>
      </c>
      <c r="AA53" s="39">
        <v>8</v>
      </c>
      <c r="AB53" s="39">
        <v>6</v>
      </c>
      <c r="AC53" s="39">
        <v>8</v>
      </c>
      <c r="AD53" s="39">
        <v>6</v>
      </c>
      <c r="AE53" s="39">
        <v>8</v>
      </c>
      <c r="AF53" s="39" t="s">
        <v>219</v>
      </c>
      <c r="AG53" s="47" t="str">
        <f>VLOOKUP(TRIM(LEFT(B53, FIND(" ", B53 &amp; " ")-1)) &amp; "*", Дані!$A$1:$F$70, 6, FALSE)</f>
        <v>АПС</v>
      </c>
    </row>
    <row r="54" spans="2:33" ht="14.25">
      <c r="B54" s="25" t="s">
        <v>180</v>
      </c>
      <c r="C54" s="39">
        <v>8</v>
      </c>
      <c r="D54" s="39" t="s">
        <v>219</v>
      </c>
      <c r="E54" s="39" t="s">
        <v>219</v>
      </c>
      <c r="F54" s="39">
        <v>8</v>
      </c>
      <c r="G54" s="39">
        <v>8</v>
      </c>
      <c r="H54" s="39">
        <v>8</v>
      </c>
      <c r="I54" s="39">
        <v>8</v>
      </c>
      <c r="J54" s="39">
        <v>8</v>
      </c>
      <c r="K54" s="39" t="s">
        <v>219</v>
      </c>
      <c r="L54" s="39">
        <v>4</v>
      </c>
      <c r="M54" s="39">
        <v>4</v>
      </c>
      <c r="N54" s="39" t="s">
        <v>219</v>
      </c>
      <c r="O54" s="39" t="s">
        <v>219</v>
      </c>
      <c r="P54" s="39" t="s">
        <v>219</v>
      </c>
      <c r="Q54" s="39">
        <v>4</v>
      </c>
      <c r="R54" s="39" t="s">
        <v>219</v>
      </c>
      <c r="S54" s="39" t="s">
        <v>221</v>
      </c>
      <c r="T54" s="39" t="s">
        <v>221</v>
      </c>
      <c r="U54" s="39" t="s">
        <v>221</v>
      </c>
      <c r="V54" s="39" t="s">
        <v>221</v>
      </c>
      <c r="W54" s="39">
        <v>8</v>
      </c>
      <c r="X54" s="39">
        <v>6</v>
      </c>
      <c r="Y54" s="39" t="s">
        <v>219</v>
      </c>
      <c r="Z54" s="39" t="s">
        <v>219</v>
      </c>
      <c r="AA54" s="39">
        <v>8</v>
      </c>
      <c r="AB54" s="39">
        <v>6</v>
      </c>
      <c r="AC54" s="39">
        <v>8</v>
      </c>
      <c r="AD54" s="39">
        <v>6</v>
      </c>
      <c r="AE54" s="39">
        <v>8</v>
      </c>
      <c r="AF54" s="39" t="s">
        <v>219</v>
      </c>
      <c r="AG54" s="47" t="str">
        <f>VLOOKUP(TRIM(LEFT(B54, FIND(" ", B54 &amp; " ")-1)) &amp; "*", Дані!$A$1:$F$70, 6, FALSE)</f>
        <v>АПС</v>
      </c>
    </row>
    <row r="55" spans="2:33" ht="14.25">
      <c r="B55" s="25" t="s">
        <v>181</v>
      </c>
      <c r="C55" s="39">
        <v>8</v>
      </c>
      <c r="D55" s="39" t="s">
        <v>219</v>
      </c>
      <c r="E55" s="39" t="s">
        <v>219</v>
      </c>
      <c r="F55" s="39" t="s">
        <v>221</v>
      </c>
      <c r="G55" s="39" t="s">
        <v>221</v>
      </c>
      <c r="H55" s="39">
        <v>8</v>
      </c>
      <c r="I55" s="39">
        <v>6</v>
      </c>
      <c r="J55" s="39">
        <v>8</v>
      </c>
      <c r="K55" s="39" t="s">
        <v>219</v>
      </c>
      <c r="L55" s="39" t="s">
        <v>219</v>
      </c>
      <c r="M55" s="39">
        <v>8</v>
      </c>
      <c r="N55" s="39">
        <v>8</v>
      </c>
      <c r="O55" s="39">
        <v>8</v>
      </c>
      <c r="P55" s="39">
        <v>8</v>
      </c>
      <c r="Q55" s="39">
        <v>8</v>
      </c>
      <c r="R55" s="39" t="s">
        <v>219</v>
      </c>
      <c r="S55" s="39" t="s">
        <v>219</v>
      </c>
      <c r="T55" s="39">
        <v>8</v>
      </c>
      <c r="U55" s="39">
        <v>8</v>
      </c>
      <c r="V55" s="39">
        <v>8</v>
      </c>
      <c r="W55" s="39" t="s">
        <v>222</v>
      </c>
      <c r="X55" s="39" t="s">
        <v>222</v>
      </c>
      <c r="Y55" s="39" t="s">
        <v>219</v>
      </c>
      <c r="Z55" s="39" t="s">
        <v>219</v>
      </c>
      <c r="AA55" s="39">
        <v>8</v>
      </c>
      <c r="AB55" s="39">
        <v>8</v>
      </c>
      <c r="AC55" s="39">
        <v>8</v>
      </c>
      <c r="AD55" s="39">
        <v>8</v>
      </c>
      <c r="AE55" s="39">
        <v>8</v>
      </c>
      <c r="AF55" s="39" t="s">
        <v>219</v>
      </c>
      <c r="AG55" s="47" t="str">
        <f>VLOOKUP(TRIM(LEFT(B55, FIND(" ", B55 &amp; " ")-1)) &amp; "*", Дані!$A$1:$F$70, 6, FALSE)</f>
        <v>ТКБ</v>
      </c>
    </row>
    <row r="56" spans="2:33" ht="14.25">
      <c r="B56" s="25" t="s">
        <v>182</v>
      </c>
      <c r="C56" s="39">
        <v>8</v>
      </c>
      <c r="D56" s="39" t="s">
        <v>219</v>
      </c>
      <c r="E56" s="39" t="s">
        <v>219</v>
      </c>
      <c r="F56" s="39">
        <v>8</v>
      </c>
      <c r="G56" s="39">
        <v>8</v>
      </c>
      <c r="H56" s="39">
        <v>8</v>
      </c>
      <c r="I56" s="39">
        <v>8</v>
      </c>
      <c r="J56" s="39">
        <v>8</v>
      </c>
      <c r="K56" s="39" t="s">
        <v>219</v>
      </c>
      <c r="L56" s="39">
        <v>4</v>
      </c>
      <c r="M56" s="39">
        <v>4</v>
      </c>
      <c r="N56" s="39" t="s">
        <v>219</v>
      </c>
      <c r="O56" s="39" t="s">
        <v>219</v>
      </c>
      <c r="P56" s="39" t="s">
        <v>219</v>
      </c>
      <c r="Q56" s="39">
        <v>4</v>
      </c>
      <c r="R56" s="39" t="s">
        <v>219</v>
      </c>
      <c r="S56" s="39">
        <v>8</v>
      </c>
      <c r="T56" s="39">
        <v>8</v>
      </c>
      <c r="U56" s="39">
        <v>8</v>
      </c>
      <c r="V56" s="39">
        <v>8</v>
      </c>
      <c r="W56" s="39" t="s">
        <v>219</v>
      </c>
      <c r="X56" s="39" t="s">
        <v>219</v>
      </c>
      <c r="Y56" s="39" t="s">
        <v>219</v>
      </c>
      <c r="Z56" s="39">
        <v>7</v>
      </c>
      <c r="AA56" s="39">
        <v>8</v>
      </c>
      <c r="AB56" s="39">
        <v>6</v>
      </c>
      <c r="AC56" s="39">
        <v>8</v>
      </c>
      <c r="AD56" s="39">
        <v>6</v>
      </c>
      <c r="AE56" s="39">
        <v>8</v>
      </c>
      <c r="AF56" s="39" t="s">
        <v>226</v>
      </c>
      <c r="AG56" s="47" t="str">
        <f>VLOOKUP(TRIM(LEFT(B56, FIND(" ", B56 &amp; " ")-1)) &amp; "*", Дані!$A$1:$F$70, 6, FALSE)</f>
        <v>АПС</v>
      </c>
    </row>
    <row r="57" spans="2:33" ht="14.25">
      <c r="B57" s="25" t="s">
        <v>183</v>
      </c>
      <c r="C57" s="39" t="s">
        <v>222</v>
      </c>
      <c r="D57" s="39" t="s">
        <v>219</v>
      </c>
      <c r="E57" s="39" t="s">
        <v>219</v>
      </c>
      <c r="F57" s="39" t="s">
        <v>222</v>
      </c>
      <c r="G57" s="39" t="s">
        <v>222</v>
      </c>
      <c r="H57" s="39">
        <v>8</v>
      </c>
      <c r="I57" s="39">
        <v>8</v>
      </c>
      <c r="J57" s="39">
        <v>8</v>
      </c>
      <c r="K57" s="39" t="s">
        <v>219</v>
      </c>
      <c r="L57" s="39" t="s">
        <v>219</v>
      </c>
      <c r="M57" s="39">
        <v>4</v>
      </c>
      <c r="N57" s="39">
        <v>8</v>
      </c>
      <c r="O57" s="39">
        <v>8</v>
      </c>
      <c r="P57" s="39">
        <v>8</v>
      </c>
      <c r="Q57" s="39">
        <v>8</v>
      </c>
      <c r="R57" s="39" t="s">
        <v>219</v>
      </c>
      <c r="S57" s="39" t="s">
        <v>219</v>
      </c>
      <c r="T57" s="39" t="s">
        <v>221</v>
      </c>
      <c r="U57" s="39" t="s">
        <v>221</v>
      </c>
      <c r="V57" s="39">
        <v>4</v>
      </c>
      <c r="W57" s="39">
        <v>8</v>
      </c>
      <c r="X57" s="39">
        <v>8</v>
      </c>
      <c r="Y57" s="39">
        <v>7</v>
      </c>
      <c r="Z57" s="39" t="s">
        <v>219</v>
      </c>
      <c r="AA57" s="39">
        <v>8</v>
      </c>
      <c r="AB57" s="39">
        <v>8</v>
      </c>
      <c r="AC57" s="39">
        <v>8</v>
      </c>
      <c r="AD57" s="39">
        <v>8</v>
      </c>
      <c r="AE57" s="39">
        <v>8</v>
      </c>
      <c r="AF57" s="39" t="s">
        <v>219</v>
      </c>
      <c r="AG57" s="47" t="str">
        <f>VLOOKUP(TRIM(LEFT(B57, FIND(" ", B57 &amp; " ")-1)) &amp; "*", Дані!$A$1:$F$70, 6, FALSE)</f>
        <v>ТКБ</v>
      </c>
    </row>
    <row r="58" spans="2:33" ht="14.25">
      <c r="B58" s="25" t="s">
        <v>184</v>
      </c>
      <c r="C58" s="39">
        <v>6</v>
      </c>
      <c r="D58" s="39" t="s">
        <v>219</v>
      </c>
      <c r="E58" s="39">
        <v>7</v>
      </c>
      <c r="F58" s="39">
        <v>8</v>
      </c>
      <c r="G58" s="39">
        <v>8</v>
      </c>
      <c r="H58" s="39">
        <v>8</v>
      </c>
      <c r="I58" s="39">
        <v>8</v>
      </c>
      <c r="J58" s="39">
        <v>8</v>
      </c>
      <c r="K58" s="39" t="s">
        <v>219</v>
      </c>
      <c r="L58" s="39" t="s">
        <v>219</v>
      </c>
      <c r="M58" s="39">
        <v>8</v>
      </c>
      <c r="N58" s="39">
        <v>8</v>
      </c>
      <c r="O58" s="39">
        <v>8</v>
      </c>
      <c r="P58" s="39">
        <v>8</v>
      </c>
      <c r="Q58" s="39">
        <v>8</v>
      </c>
      <c r="R58" s="39" t="s">
        <v>219</v>
      </c>
      <c r="S58" s="39" t="s">
        <v>219</v>
      </c>
      <c r="T58" s="39">
        <v>4</v>
      </c>
      <c r="U58" s="39">
        <v>4</v>
      </c>
      <c r="V58" s="39">
        <v>8</v>
      </c>
      <c r="W58" s="39">
        <v>8</v>
      </c>
      <c r="X58" s="39">
        <v>8</v>
      </c>
      <c r="Y58" s="39" t="s">
        <v>219</v>
      </c>
      <c r="Z58" s="39" t="s">
        <v>219</v>
      </c>
      <c r="AA58" s="39">
        <v>8</v>
      </c>
      <c r="AB58" s="39">
        <v>8</v>
      </c>
      <c r="AC58" s="39">
        <v>6</v>
      </c>
      <c r="AD58" s="39">
        <v>4</v>
      </c>
      <c r="AE58" s="39">
        <v>4</v>
      </c>
      <c r="AF58" s="39" t="s">
        <v>219</v>
      </c>
      <c r="AG58" s="47" t="str">
        <f>VLOOKUP(TRIM(LEFT(B58, FIND(" ", B58 &amp; " ")-1)) &amp; "*", Дані!$A$1:$F$70, 6, FALSE)</f>
        <v>АПС</v>
      </c>
    </row>
    <row r="59" spans="2:33" ht="14.25">
      <c r="B59" s="25" t="s">
        <v>185</v>
      </c>
      <c r="C59" s="39">
        <v>8</v>
      </c>
      <c r="D59" s="39">
        <v>7</v>
      </c>
      <c r="E59" s="39" t="s">
        <v>219</v>
      </c>
      <c r="F59" s="39">
        <v>8</v>
      </c>
      <c r="G59" s="39">
        <v>8</v>
      </c>
      <c r="H59" s="39">
        <v>8</v>
      </c>
      <c r="I59" s="39">
        <v>8</v>
      </c>
      <c r="J59" s="39">
        <v>8</v>
      </c>
      <c r="K59" s="39" t="s">
        <v>219</v>
      </c>
      <c r="L59" s="39">
        <v>4</v>
      </c>
      <c r="M59" s="39">
        <v>4</v>
      </c>
      <c r="N59" s="39" t="s">
        <v>219</v>
      </c>
      <c r="O59" s="39" t="s">
        <v>219</v>
      </c>
      <c r="P59" s="39" t="s">
        <v>219</v>
      </c>
      <c r="Q59" s="39">
        <v>4</v>
      </c>
      <c r="R59" s="39" t="s">
        <v>219</v>
      </c>
      <c r="S59" s="39">
        <v>8</v>
      </c>
      <c r="T59" s="39">
        <v>8</v>
      </c>
      <c r="U59" s="39">
        <v>8</v>
      </c>
      <c r="V59" s="39">
        <v>8</v>
      </c>
      <c r="W59" s="39" t="s">
        <v>219</v>
      </c>
      <c r="X59" s="39" t="s">
        <v>219</v>
      </c>
      <c r="Y59" s="39" t="s">
        <v>219</v>
      </c>
      <c r="Z59" s="39" t="s">
        <v>219</v>
      </c>
      <c r="AA59" s="39">
        <v>8</v>
      </c>
      <c r="AB59" s="39">
        <v>6</v>
      </c>
      <c r="AC59" s="39">
        <v>8</v>
      </c>
      <c r="AD59" s="39">
        <v>6</v>
      </c>
      <c r="AE59" s="39">
        <v>8</v>
      </c>
      <c r="AF59" s="39" t="s">
        <v>219</v>
      </c>
      <c r="AG59" s="47" t="str">
        <f>VLOOKUP(TRIM(LEFT(B59, FIND(" ", B59 &amp; " ")-1)) &amp; "*", Дані!$A$1:$F$70, 6, FALSE)</f>
        <v>АПС</v>
      </c>
    </row>
    <row r="60" spans="2:33" ht="14.25">
      <c r="B60" s="25" t="s">
        <v>186</v>
      </c>
      <c r="C60" s="39">
        <v>8</v>
      </c>
      <c r="D60" s="39" t="s">
        <v>219</v>
      </c>
      <c r="E60" s="39" t="s">
        <v>219</v>
      </c>
      <c r="F60" s="39">
        <v>8</v>
      </c>
      <c r="G60" s="39">
        <v>8</v>
      </c>
      <c r="H60" s="39">
        <v>8</v>
      </c>
      <c r="I60" s="39">
        <v>8</v>
      </c>
      <c r="J60" s="39">
        <v>8</v>
      </c>
      <c r="K60" s="39" t="s">
        <v>219</v>
      </c>
      <c r="L60" s="39">
        <v>4</v>
      </c>
      <c r="M60" s="39">
        <v>4</v>
      </c>
      <c r="N60" s="39" t="s">
        <v>219</v>
      </c>
      <c r="O60" s="39" t="s">
        <v>219</v>
      </c>
      <c r="P60" s="39" t="s">
        <v>219</v>
      </c>
      <c r="Q60" s="39">
        <v>4</v>
      </c>
      <c r="R60" s="39" t="s">
        <v>219</v>
      </c>
      <c r="S60" s="39">
        <v>8</v>
      </c>
      <c r="T60" s="39">
        <v>8</v>
      </c>
      <c r="U60" s="39">
        <v>8</v>
      </c>
      <c r="V60" s="39">
        <v>8</v>
      </c>
      <c r="W60" s="39" t="s">
        <v>219</v>
      </c>
      <c r="X60" s="39" t="s">
        <v>219</v>
      </c>
      <c r="Y60" s="39" t="s">
        <v>219</v>
      </c>
      <c r="Z60" s="39" t="s">
        <v>219</v>
      </c>
      <c r="AA60" s="39">
        <v>8</v>
      </c>
      <c r="AB60" s="39">
        <v>6</v>
      </c>
      <c r="AC60" s="39">
        <v>8</v>
      </c>
      <c r="AD60" s="39">
        <v>6</v>
      </c>
      <c r="AE60" s="39">
        <v>8</v>
      </c>
      <c r="AF60" s="39" t="s">
        <v>219</v>
      </c>
      <c r="AG60" s="47" t="str">
        <f>VLOOKUP(TRIM(LEFT(B60, FIND(" ", B60 &amp; " ")-1)) &amp; "*", Дані!$A$1:$F$70, 6, FALSE)</f>
        <v>ТКБ</v>
      </c>
    </row>
    <row r="61" spans="2:33" ht="14.25">
      <c r="B61" s="25" t="s">
        <v>187</v>
      </c>
      <c r="C61" s="39">
        <v>8</v>
      </c>
      <c r="D61" s="39" t="s">
        <v>219</v>
      </c>
      <c r="E61" s="39" t="s">
        <v>219</v>
      </c>
      <c r="F61" s="39">
        <v>8</v>
      </c>
      <c r="G61" s="39">
        <v>8</v>
      </c>
      <c r="H61" s="39">
        <v>8</v>
      </c>
      <c r="I61" s="39">
        <v>8</v>
      </c>
      <c r="J61" s="39">
        <v>8</v>
      </c>
      <c r="K61" s="39" t="s">
        <v>219</v>
      </c>
      <c r="L61" s="39">
        <v>4</v>
      </c>
      <c r="M61" s="39">
        <v>4</v>
      </c>
      <c r="N61" s="39" t="s">
        <v>219</v>
      </c>
      <c r="O61" s="39" t="s">
        <v>219</v>
      </c>
      <c r="P61" s="39" t="s">
        <v>219</v>
      </c>
      <c r="Q61" s="39">
        <v>4</v>
      </c>
      <c r="R61" s="39" t="s">
        <v>219</v>
      </c>
      <c r="S61" s="39" t="s">
        <v>221</v>
      </c>
      <c r="T61" s="39" t="s">
        <v>221</v>
      </c>
      <c r="U61" s="39" t="s">
        <v>221</v>
      </c>
      <c r="V61" s="39" t="s">
        <v>221</v>
      </c>
      <c r="W61" s="39">
        <v>8</v>
      </c>
      <c r="X61" s="39">
        <v>6</v>
      </c>
      <c r="Y61" s="39" t="s">
        <v>219</v>
      </c>
      <c r="Z61" s="39" t="s">
        <v>219</v>
      </c>
      <c r="AA61" s="39">
        <v>8</v>
      </c>
      <c r="AB61" s="39">
        <v>6</v>
      </c>
      <c r="AC61" s="39">
        <v>8</v>
      </c>
      <c r="AD61" s="39">
        <v>6</v>
      </c>
      <c r="AE61" s="39">
        <v>8</v>
      </c>
      <c r="AF61" s="39" t="s">
        <v>219</v>
      </c>
      <c r="AG61" s="47" t="str">
        <f>VLOOKUP(TRIM(LEFT(B61, FIND(" ", B61 &amp; " ")-1)) &amp; "*", Дані!$A$1:$F$70, 6, FALSE)</f>
        <v>ТКБ</v>
      </c>
    </row>
    <row r="62" spans="2:33" ht="14.25">
      <c r="B62" s="25" t="s">
        <v>188</v>
      </c>
      <c r="C62" s="39" t="s">
        <v>222</v>
      </c>
      <c r="D62" s="39" t="s">
        <v>219</v>
      </c>
      <c r="E62" s="39" t="s">
        <v>219</v>
      </c>
      <c r="F62" s="39" t="s">
        <v>222</v>
      </c>
      <c r="G62" s="39" t="s">
        <v>222</v>
      </c>
      <c r="H62" s="39">
        <v>8</v>
      </c>
      <c r="I62" s="39">
        <v>8</v>
      </c>
      <c r="J62" s="39">
        <v>8</v>
      </c>
      <c r="K62" s="39" t="s">
        <v>219</v>
      </c>
      <c r="L62" s="39" t="s">
        <v>219</v>
      </c>
      <c r="M62" s="39" t="s">
        <v>221</v>
      </c>
      <c r="N62" s="39" t="s">
        <v>221</v>
      </c>
      <c r="O62" s="39" t="s">
        <v>222</v>
      </c>
      <c r="P62" s="39" t="s">
        <v>222</v>
      </c>
      <c r="Q62" s="39">
        <v>8</v>
      </c>
      <c r="R62" s="39" t="s">
        <v>219</v>
      </c>
      <c r="S62" s="39" t="s">
        <v>219</v>
      </c>
      <c r="T62" s="39">
        <v>8</v>
      </c>
      <c r="U62" s="39">
        <v>8</v>
      </c>
      <c r="V62" s="39">
        <v>8</v>
      </c>
      <c r="W62" s="39">
        <v>8</v>
      </c>
      <c r="X62" s="39">
        <v>8</v>
      </c>
      <c r="Y62" s="39" t="s">
        <v>219</v>
      </c>
      <c r="Z62" s="39">
        <v>7</v>
      </c>
      <c r="AA62" s="39">
        <v>8</v>
      </c>
      <c r="AB62" s="39">
        <v>8</v>
      </c>
      <c r="AC62" s="39">
        <v>10</v>
      </c>
      <c r="AD62" s="39">
        <v>8</v>
      </c>
      <c r="AE62" s="39">
        <v>8</v>
      </c>
      <c r="AF62" s="39" t="s">
        <v>219</v>
      </c>
      <c r="AG62" s="47" t="str">
        <f>VLOOKUP(TRIM(LEFT(B62, FIND(" ", B62 &amp; " ")-1)) &amp; "*", Дані!$A$1:$F$70, 6, FALSE)</f>
        <v>ТКБ</v>
      </c>
    </row>
    <row r="63" spans="2:33" ht="14.25">
      <c r="B63" s="25" t="s">
        <v>189</v>
      </c>
      <c r="C63" s="39">
        <v>8</v>
      </c>
      <c r="D63" s="39" t="s">
        <v>219</v>
      </c>
      <c r="E63" s="39" t="s">
        <v>219</v>
      </c>
      <c r="F63" s="39">
        <v>8</v>
      </c>
      <c r="G63" s="39">
        <v>8</v>
      </c>
      <c r="H63" s="39">
        <v>8</v>
      </c>
      <c r="I63" s="39">
        <v>8</v>
      </c>
      <c r="J63" s="39">
        <v>8</v>
      </c>
      <c r="K63" s="39" t="s">
        <v>219</v>
      </c>
      <c r="L63" s="39">
        <v>4</v>
      </c>
      <c r="M63" s="39">
        <v>4</v>
      </c>
      <c r="N63" s="39" t="s">
        <v>219</v>
      </c>
      <c r="O63" s="39" t="s">
        <v>219</v>
      </c>
      <c r="P63" s="39" t="s">
        <v>219</v>
      </c>
      <c r="Q63" s="39">
        <v>4</v>
      </c>
      <c r="R63" s="39" t="s">
        <v>219</v>
      </c>
      <c r="S63" s="39">
        <v>8</v>
      </c>
      <c r="T63" s="39">
        <v>8</v>
      </c>
      <c r="U63" s="39">
        <v>8</v>
      </c>
      <c r="V63" s="39">
        <v>8</v>
      </c>
      <c r="W63" s="39" t="s">
        <v>219</v>
      </c>
      <c r="X63" s="39" t="s">
        <v>219</v>
      </c>
      <c r="Y63" s="39" t="s">
        <v>219</v>
      </c>
      <c r="Z63" s="39" t="s">
        <v>219</v>
      </c>
      <c r="AA63" s="39">
        <v>8</v>
      </c>
      <c r="AB63" s="39">
        <v>6</v>
      </c>
      <c r="AC63" s="39" t="s">
        <v>226</v>
      </c>
      <c r="AD63" s="39">
        <v>6</v>
      </c>
      <c r="AE63" s="39">
        <v>8</v>
      </c>
      <c r="AF63" s="39" t="s">
        <v>219</v>
      </c>
      <c r="AG63" s="47" t="str">
        <f>VLOOKUP(TRIM(LEFT(B63, FIND(" ", B63 &amp; " ")-1)) &amp; "*", Дані!$A$1:$F$70, 6, FALSE)</f>
        <v>ТКБ</v>
      </c>
    </row>
    <row r="64" spans="2:33" ht="14.25">
      <c r="B64" s="25" t="s">
        <v>190</v>
      </c>
      <c r="C64" s="39">
        <v>8</v>
      </c>
      <c r="D64" s="39" t="s">
        <v>219</v>
      </c>
      <c r="E64" s="39" t="s">
        <v>219</v>
      </c>
      <c r="F64" s="39">
        <v>8</v>
      </c>
      <c r="G64" s="39">
        <v>8</v>
      </c>
      <c r="H64" s="39">
        <v>8</v>
      </c>
      <c r="I64" s="39">
        <v>8</v>
      </c>
      <c r="J64" s="39">
        <v>8</v>
      </c>
      <c r="K64" s="39" t="s">
        <v>219</v>
      </c>
      <c r="L64" s="39">
        <v>4</v>
      </c>
      <c r="M64" s="39">
        <v>4</v>
      </c>
      <c r="N64" s="39" t="s">
        <v>219</v>
      </c>
      <c r="O64" s="39" t="s">
        <v>219</v>
      </c>
      <c r="P64" s="39" t="s">
        <v>219</v>
      </c>
      <c r="Q64" s="39">
        <v>4</v>
      </c>
      <c r="R64" s="39" t="s">
        <v>219</v>
      </c>
      <c r="S64" s="39" t="s">
        <v>221</v>
      </c>
      <c r="T64" s="39" t="s">
        <v>221</v>
      </c>
      <c r="U64" s="39" t="s">
        <v>221</v>
      </c>
      <c r="V64" s="39" t="s">
        <v>221</v>
      </c>
      <c r="W64" s="39">
        <v>8</v>
      </c>
      <c r="X64" s="39">
        <v>6</v>
      </c>
      <c r="Y64" s="39" t="s">
        <v>219</v>
      </c>
      <c r="Z64" s="39" t="s">
        <v>219</v>
      </c>
      <c r="AA64" s="39">
        <v>8</v>
      </c>
      <c r="AB64" s="39">
        <v>6</v>
      </c>
      <c r="AC64" s="39">
        <v>8</v>
      </c>
      <c r="AD64" s="39">
        <v>6</v>
      </c>
      <c r="AE64" s="39">
        <v>8</v>
      </c>
      <c r="AF64" s="39" t="s">
        <v>219</v>
      </c>
      <c r="AG64" s="47" t="str">
        <f>VLOOKUP(TRIM(LEFT(B64, FIND(" ", B64 &amp; " ")-1)) &amp; "*", Дані!$A$1:$F$70, 6, FALSE)</f>
        <v>ОТД</v>
      </c>
    </row>
    <row r="65" spans="2:33" ht="14.25">
      <c r="B65" s="25" t="s">
        <v>191</v>
      </c>
      <c r="C65" s="39">
        <v>8</v>
      </c>
      <c r="D65" s="39" t="s">
        <v>219</v>
      </c>
      <c r="E65" s="39" t="s">
        <v>219</v>
      </c>
      <c r="F65" s="39">
        <v>8</v>
      </c>
      <c r="G65" s="39">
        <v>8</v>
      </c>
      <c r="H65" s="39">
        <v>8</v>
      </c>
      <c r="I65" s="39">
        <v>8</v>
      </c>
      <c r="J65" s="39">
        <v>8</v>
      </c>
      <c r="K65" s="39" t="s">
        <v>219</v>
      </c>
      <c r="L65" s="39">
        <v>4</v>
      </c>
      <c r="M65" s="39">
        <v>4</v>
      </c>
      <c r="N65" s="39" t="s">
        <v>219</v>
      </c>
      <c r="O65" s="39" t="s">
        <v>219</v>
      </c>
      <c r="P65" s="39" t="s">
        <v>219</v>
      </c>
      <c r="Q65" s="39">
        <v>4</v>
      </c>
      <c r="R65" s="39" t="s">
        <v>219</v>
      </c>
      <c r="S65" s="39">
        <v>8</v>
      </c>
      <c r="T65" s="39">
        <v>8</v>
      </c>
      <c r="U65" s="39">
        <v>8</v>
      </c>
      <c r="V65" s="39">
        <v>8</v>
      </c>
      <c r="W65" s="39" t="s">
        <v>219</v>
      </c>
      <c r="X65" s="39" t="s">
        <v>219</v>
      </c>
      <c r="Y65" s="39" t="s">
        <v>219</v>
      </c>
      <c r="Z65" s="39" t="s">
        <v>219</v>
      </c>
      <c r="AA65" s="39">
        <v>8</v>
      </c>
      <c r="AB65" s="39">
        <v>6</v>
      </c>
      <c r="AC65" s="39">
        <v>8</v>
      </c>
      <c r="AD65" s="39">
        <v>6</v>
      </c>
      <c r="AE65" s="39">
        <v>8</v>
      </c>
      <c r="AF65" s="39" t="s">
        <v>219</v>
      </c>
      <c r="AG65" s="47" t="str">
        <f>VLOOKUP(TRIM(LEFT(B65, FIND(" ", B65 &amp; " ")-1)) &amp; "*", Дані!$A$1:$F$70, 6, FALSE)</f>
        <v>ТКБ</v>
      </c>
    </row>
    <row r="66" spans="2:33" ht="14.25">
      <c r="B66" s="25" t="s">
        <v>192</v>
      </c>
      <c r="C66" s="39">
        <v>8</v>
      </c>
      <c r="D66" s="39" t="s">
        <v>219</v>
      </c>
      <c r="E66" s="39" t="s">
        <v>219</v>
      </c>
      <c r="F66" s="39" t="s">
        <v>221</v>
      </c>
      <c r="G66" s="39" t="s">
        <v>221</v>
      </c>
      <c r="H66" s="39">
        <v>8</v>
      </c>
      <c r="I66" s="39">
        <v>6</v>
      </c>
      <c r="J66" s="39">
        <v>8</v>
      </c>
      <c r="K66" s="39" t="s">
        <v>219</v>
      </c>
      <c r="L66" s="39" t="s">
        <v>219</v>
      </c>
      <c r="M66" s="39">
        <v>8</v>
      </c>
      <c r="N66" s="39">
        <v>8</v>
      </c>
      <c r="O66" s="39">
        <v>8</v>
      </c>
      <c r="P66" s="39">
        <v>8</v>
      </c>
      <c r="Q66" s="39">
        <v>8</v>
      </c>
      <c r="R66" s="39" t="s">
        <v>219</v>
      </c>
      <c r="S66" s="39" t="s">
        <v>219</v>
      </c>
      <c r="T66" s="39">
        <v>8</v>
      </c>
      <c r="U66" s="39">
        <v>8</v>
      </c>
      <c r="V66" s="39">
        <v>8</v>
      </c>
      <c r="W66" s="39" t="s">
        <v>222</v>
      </c>
      <c r="X66" s="39" t="s">
        <v>222</v>
      </c>
      <c r="Y66" s="39" t="s">
        <v>219</v>
      </c>
      <c r="Z66" s="39" t="s">
        <v>219</v>
      </c>
      <c r="AA66" s="39">
        <v>8</v>
      </c>
      <c r="AB66" s="39">
        <v>8</v>
      </c>
      <c r="AC66" s="39">
        <v>8</v>
      </c>
      <c r="AD66" s="39">
        <v>8</v>
      </c>
      <c r="AE66" s="39">
        <v>8</v>
      </c>
      <c r="AF66" s="39" t="s">
        <v>219</v>
      </c>
      <c r="AG66" s="47" t="str">
        <f>VLOOKUP(TRIM(LEFT(B66, FIND(" ", B66 &amp; " ")-1)) &amp; "*", Дані!$A$1:$F$70, 6, FALSE)</f>
        <v>ТКБ</v>
      </c>
    </row>
    <row r="67" spans="2:33" ht="14.25">
      <c r="B67" s="25" t="s">
        <v>193</v>
      </c>
      <c r="C67" s="39" t="s">
        <v>222</v>
      </c>
      <c r="D67" s="39" t="s">
        <v>219</v>
      </c>
      <c r="E67" s="39" t="s">
        <v>219</v>
      </c>
      <c r="F67" s="39" t="s">
        <v>222</v>
      </c>
      <c r="G67" s="39" t="s">
        <v>222</v>
      </c>
      <c r="H67" s="39">
        <v>8</v>
      </c>
      <c r="I67" s="39">
        <v>8</v>
      </c>
      <c r="J67" s="39">
        <v>8</v>
      </c>
      <c r="K67" s="39" t="s">
        <v>219</v>
      </c>
      <c r="L67" s="39" t="s">
        <v>219</v>
      </c>
      <c r="M67" s="39">
        <v>4</v>
      </c>
      <c r="N67" s="39">
        <v>8</v>
      </c>
      <c r="O67" s="39">
        <v>8</v>
      </c>
      <c r="P67" s="39">
        <v>8</v>
      </c>
      <c r="Q67" s="39">
        <v>8</v>
      </c>
      <c r="R67" s="39" t="s">
        <v>219</v>
      </c>
      <c r="S67" s="39" t="s">
        <v>219</v>
      </c>
      <c r="T67" s="39" t="s">
        <v>221</v>
      </c>
      <c r="U67" s="39" t="s">
        <v>221</v>
      </c>
      <c r="V67" s="39">
        <v>4</v>
      </c>
      <c r="W67" s="39">
        <v>8</v>
      </c>
      <c r="X67" s="39">
        <v>8</v>
      </c>
      <c r="Y67" s="39" t="s">
        <v>219</v>
      </c>
      <c r="Z67" s="39" t="s">
        <v>219</v>
      </c>
      <c r="AA67" s="39">
        <v>8</v>
      </c>
      <c r="AB67" s="39">
        <v>8</v>
      </c>
      <c r="AC67" s="39">
        <v>8</v>
      </c>
      <c r="AD67" s="39">
        <v>8</v>
      </c>
      <c r="AE67" s="39">
        <v>8</v>
      </c>
      <c r="AF67" s="39" t="s">
        <v>219</v>
      </c>
      <c r="AG67" s="47" t="str">
        <f>VLOOKUP(TRIM(LEFT(B67, FIND(" ", B67 &amp; " ")-1)) &amp; "*", Дані!$A$1:$F$70, 6, FALSE)</f>
        <v>ОНК</v>
      </c>
    </row>
    <row r="68" spans="2:33" ht="14.25">
      <c r="B68" s="25" t="s">
        <v>194</v>
      </c>
      <c r="C68" s="39">
        <v>8</v>
      </c>
      <c r="D68" s="39">
        <v>7</v>
      </c>
      <c r="E68" s="39" t="s">
        <v>219</v>
      </c>
      <c r="F68" s="39" t="s">
        <v>221</v>
      </c>
      <c r="G68" s="39" t="s">
        <v>221</v>
      </c>
      <c r="H68" s="39" t="s">
        <v>221</v>
      </c>
      <c r="I68" s="39" t="s">
        <v>221</v>
      </c>
      <c r="J68" s="39" t="s">
        <v>221</v>
      </c>
      <c r="K68" s="39" t="s">
        <v>219</v>
      </c>
      <c r="L68" s="39" t="s">
        <v>219</v>
      </c>
      <c r="M68" s="39">
        <v>4</v>
      </c>
      <c r="N68" s="39">
        <v>6</v>
      </c>
      <c r="O68" s="39">
        <v>8</v>
      </c>
      <c r="P68" s="39">
        <v>6</v>
      </c>
      <c r="Q68" s="39">
        <v>4</v>
      </c>
      <c r="R68" s="39" t="s">
        <v>219</v>
      </c>
      <c r="S68" s="39" t="s">
        <v>219</v>
      </c>
      <c r="T68" s="39">
        <v>6</v>
      </c>
      <c r="U68" s="39">
        <v>8</v>
      </c>
      <c r="V68" s="39">
        <v>6</v>
      </c>
      <c r="W68" s="39">
        <v>8</v>
      </c>
      <c r="X68" s="39">
        <v>6</v>
      </c>
      <c r="Y68" s="39" t="s">
        <v>219</v>
      </c>
      <c r="Z68" s="39" t="s">
        <v>219</v>
      </c>
      <c r="AA68" s="39">
        <v>8</v>
      </c>
      <c r="AB68" s="39">
        <v>6</v>
      </c>
      <c r="AC68" s="39">
        <v>8</v>
      </c>
      <c r="AD68" s="39">
        <v>6</v>
      </c>
      <c r="AE68" s="39">
        <v>8</v>
      </c>
      <c r="AF68" s="39" t="s">
        <v>219</v>
      </c>
      <c r="AG68" s="47" t="str">
        <f>VLOOKUP(TRIM(LEFT(B68, FIND(" ", B68 &amp; " ")-1)) &amp; "*", Дані!$A$1:$F$70, 6, FALSE)</f>
        <v>АПС</v>
      </c>
    </row>
    <row r="69" spans="2:33" ht="14.25">
      <c r="B69" s="25" t="s">
        <v>195</v>
      </c>
      <c r="C69" s="39">
        <v>8</v>
      </c>
      <c r="D69" s="39" t="s">
        <v>219</v>
      </c>
      <c r="E69" s="39">
        <v>7</v>
      </c>
      <c r="F69" s="39" t="s">
        <v>221</v>
      </c>
      <c r="G69" s="39" t="s">
        <v>221</v>
      </c>
      <c r="H69" s="39">
        <v>8</v>
      </c>
      <c r="I69" s="39">
        <v>6</v>
      </c>
      <c r="J69" s="39">
        <v>8</v>
      </c>
      <c r="K69" s="39" t="s">
        <v>219</v>
      </c>
      <c r="L69" s="39" t="s">
        <v>219</v>
      </c>
      <c r="M69" s="39">
        <v>8</v>
      </c>
      <c r="N69" s="39">
        <v>8</v>
      </c>
      <c r="O69" s="39">
        <v>8</v>
      </c>
      <c r="P69" s="39">
        <v>8</v>
      </c>
      <c r="Q69" s="39">
        <v>8</v>
      </c>
      <c r="R69" s="39" t="s">
        <v>219</v>
      </c>
      <c r="S69" s="39" t="s">
        <v>219</v>
      </c>
      <c r="T69" s="39">
        <v>8</v>
      </c>
      <c r="U69" s="39">
        <v>8</v>
      </c>
      <c r="V69" s="39">
        <v>8</v>
      </c>
      <c r="W69" s="39" t="s">
        <v>222</v>
      </c>
      <c r="X69" s="39" t="s">
        <v>222</v>
      </c>
      <c r="Y69" s="39" t="s">
        <v>219</v>
      </c>
      <c r="Z69" s="39" t="s">
        <v>219</v>
      </c>
      <c r="AA69" s="39">
        <v>8</v>
      </c>
      <c r="AB69" s="39">
        <v>8</v>
      </c>
      <c r="AC69" s="39">
        <v>8</v>
      </c>
      <c r="AD69" s="39">
        <v>8</v>
      </c>
      <c r="AE69" s="39">
        <v>8</v>
      </c>
      <c r="AF69" s="39" t="s">
        <v>219</v>
      </c>
      <c r="AG69" s="47" t="str">
        <f>VLOOKUP(TRIM(LEFT(B69, FIND(" ", B69 &amp; " ")-1)) &amp; "*", Дані!$A$1:$F$70, 6, FALSE)</f>
        <v>ТКБ</v>
      </c>
    </row>
    <row r="70" spans="2:33" ht="14.25">
      <c r="B70" s="25" t="s">
        <v>196</v>
      </c>
      <c r="C70" s="39">
        <v>8</v>
      </c>
      <c r="D70" s="39" t="s">
        <v>219</v>
      </c>
      <c r="E70" s="39" t="s">
        <v>219</v>
      </c>
      <c r="F70" s="39" t="s">
        <v>221</v>
      </c>
      <c r="G70" s="39" t="s">
        <v>221</v>
      </c>
      <c r="H70" s="39" t="s">
        <v>221</v>
      </c>
      <c r="I70" s="39" t="s">
        <v>221</v>
      </c>
      <c r="J70" s="39">
        <v>10</v>
      </c>
      <c r="K70" s="39" t="s">
        <v>219</v>
      </c>
      <c r="L70" s="39" t="s">
        <v>219</v>
      </c>
      <c r="M70" s="39">
        <v>4</v>
      </c>
      <c r="N70" s="39">
        <v>6</v>
      </c>
      <c r="O70" s="39">
        <v>8</v>
      </c>
      <c r="P70" s="39">
        <v>6</v>
      </c>
      <c r="Q70" s="39">
        <v>4</v>
      </c>
      <c r="R70" s="39" t="s">
        <v>219</v>
      </c>
      <c r="S70" s="39" t="s">
        <v>221</v>
      </c>
      <c r="T70" s="39" t="s">
        <v>221</v>
      </c>
      <c r="U70" s="39" t="s">
        <v>221</v>
      </c>
      <c r="V70" s="39" t="s">
        <v>221</v>
      </c>
      <c r="W70" s="39">
        <v>8</v>
      </c>
      <c r="X70" s="39">
        <v>6</v>
      </c>
      <c r="Y70" s="39" t="s">
        <v>219</v>
      </c>
      <c r="Z70" s="39" t="s">
        <v>219</v>
      </c>
      <c r="AA70" s="39">
        <v>8</v>
      </c>
      <c r="AB70" s="39">
        <v>6</v>
      </c>
      <c r="AC70" s="39">
        <v>8</v>
      </c>
      <c r="AD70" s="39">
        <v>6</v>
      </c>
      <c r="AE70" s="39">
        <v>8</v>
      </c>
      <c r="AF70" s="39" t="s">
        <v>219</v>
      </c>
      <c r="AG70" s="47" t="str">
        <f>VLOOKUP(TRIM(LEFT(B70, FIND(" ", B70 &amp; " ")-1)) &amp; "*", Дані!$A$1:$F$70, 6, FALSE)</f>
        <v>ТКБ</v>
      </c>
    </row>
    <row r="71" spans="2:33" ht="14.25">
      <c r="B71" s="25" t="s">
        <v>197</v>
      </c>
      <c r="C71" s="39">
        <v>8</v>
      </c>
      <c r="D71" s="39" t="s">
        <v>219</v>
      </c>
      <c r="E71" s="39">
        <v>7</v>
      </c>
      <c r="F71" s="39">
        <v>8</v>
      </c>
      <c r="G71" s="39">
        <v>8</v>
      </c>
      <c r="H71" s="39">
        <v>8</v>
      </c>
      <c r="I71" s="39">
        <v>8</v>
      </c>
      <c r="J71" s="39">
        <v>8</v>
      </c>
      <c r="K71" s="39" t="s">
        <v>219</v>
      </c>
      <c r="L71" s="39">
        <v>4</v>
      </c>
      <c r="M71" s="39">
        <v>4</v>
      </c>
      <c r="N71" s="39" t="s">
        <v>219</v>
      </c>
      <c r="O71" s="39" t="s">
        <v>219</v>
      </c>
      <c r="P71" s="39" t="s">
        <v>219</v>
      </c>
      <c r="Q71" s="39">
        <v>4</v>
      </c>
      <c r="R71" s="39" t="s">
        <v>219</v>
      </c>
      <c r="S71" s="39">
        <v>8</v>
      </c>
      <c r="T71" s="39">
        <v>8</v>
      </c>
      <c r="U71" s="39">
        <v>8</v>
      </c>
      <c r="V71" s="39">
        <v>8</v>
      </c>
      <c r="W71" s="39" t="s">
        <v>219</v>
      </c>
      <c r="X71" s="39" t="s">
        <v>219</v>
      </c>
      <c r="Y71" s="39" t="s">
        <v>219</v>
      </c>
      <c r="Z71" s="39" t="s">
        <v>219</v>
      </c>
      <c r="AA71" s="39">
        <v>8</v>
      </c>
      <c r="AB71" s="39">
        <v>6</v>
      </c>
      <c r="AC71" s="39">
        <v>8</v>
      </c>
      <c r="AD71" s="39">
        <v>6</v>
      </c>
      <c r="AE71" s="39">
        <v>8</v>
      </c>
      <c r="AF71" s="39" t="s">
        <v>219</v>
      </c>
      <c r="AG71" s="47" t="str">
        <f>VLOOKUP(TRIM(LEFT(B71, FIND(" ", B71 &amp; " ")-1)) &amp; "*", Дані!$A$1:$F$70, 6, FALSE)</f>
        <v>АПС</v>
      </c>
    </row>
    <row r="72" spans="2:33" ht="14.25">
      <c r="B72" s="25" t="s">
        <v>198</v>
      </c>
      <c r="C72" s="39">
        <v>8</v>
      </c>
      <c r="D72" s="39" t="s">
        <v>219</v>
      </c>
      <c r="E72" s="39" t="s">
        <v>219</v>
      </c>
      <c r="F72" s="39">
        <v>8</v>
      </c>
      <c r="G72" s="39">
        <v>8</v>
      </c>
      <c r="H72" s="39">
        <v>8</v>
      </c>
      <c r="I72" s="39">
        <v>8</v>
      </c>
      <c r="J72" s="39">
        <v>8</v>
      </c>
      <c r="K72" s="39" t="s">
        <v>219</v>
      </c>
      <c r="L72" s="39">
        <v>4</v>
      </c>
      <c r="M72" s="39">
        <v>4</v>
      </c>
      <c r="N72" s="39" t="s">
        <v>219</v>
      </c>
      <c r="O72" s="39" t="s">
        <v>219</v>
      </c>
      <c r="P72" s="39" t="s">
        <v>219</v>
      </c>
      <c r="Q72" s="39">
        <v>4</v>
      </c>
      <c r="R72" s="39" t="s">
        <v>219</v>
      </c>
      <c r="S72" s="39" t="s">
        <v>221</v>
      </c>
      <c r="T72" s="39" t="s">
        <v>221</v>
      </c>
      <c r="U72" s="39" t="s">
        <v>221</v>
      </c>
      <c r="V72" s="39" t="s">
        <v>221</v>
      </c>
      <c r="W72" s="39">
        <v>8</v>
      </c>
      <c r="X72" s="39">
        <v>6</v>
      </c>
      <c r="Y72" s="39" t="s">
        <v>219</v>
      </c>
      <c r="Z72" s="39" t="s">
        <v>219</v>
      </c>
      <c r="AA72" s="39">
        <v>8</v>
      </c>
      <c r="AB72" s="39">
        <v>6</v>
      </c>
      <c r="AC72" s="39">
        <v>8</v>
      </c>
      <c r="AD72" s="39">
        <v>6</v>
      </c>
      <c r="AE72" s="39">
        <v>8</v>
      </c>
      <c r="AF72" s="39" t="s">
        <v>219</v>
      </c>
      <c r="AG72" s="47" t="str">
        <f>VLOOKUP(TRIM(LEFT(B72, FIND(" ", B72 &amp; " ")-1)) &amp; "*", Дані!$A$1:$F$70, 6, FALSE)</f>
        <v>ОНК</v>
      </c>
    </row>
    <row r="73" spans="2:33" ht="14.25">
      <c r="B73" s="25" t="s">
        <v>199</v>
      </c>
      <c r="C73" s="39">
        <v>8</v>
      </c>
      <c r="D73" s="39" t="s">
        <v>219</v>
      </c>
      <c r="E73" s="39" t="s">
        <v>219</v>
      </c>
      <c r="F73" s="39">
        <v>8</v>
      </c>
      <c r="G73" s="39">
        <v>8</v>
      </c>
      <c r="H73" s="39">
        <v>8</v>
      </c>
      <c r="I73" s="39">
        <v>8</v>
      </c>
      <c r="J73" s="39">
        <v>8</v>
      </c>
      <c r="K73" s="39" t="s">
        <v>219</v>
      </c>
      <c r="L73" s="39" t="s">
        <v>219</v>
      </c>
      <c r="M73" s="39" t="s">
        <v>220</v>
      </c>
      <c r="N73" s="39" t="s">
        <v>220</v>
      </c>
      <c r="O73" s="39" t="s">
        <v>220</v>
      </c>
      <c r="P73" s="39" t="s">
        <v>220</v>
      </c>
      <c r="Q73" s="39" t="s">
        <v>220</v>
      </c>
      <c r="R73" s="39" t="s">
        <v>219</v>
      </c>
      <c r="S73" s="39" t="s">
        <v>219</v>
      </c>
      <c r="T73" s="39">
        <v>8</v>
      </c>
      <c r="U73" s="39">
        <v>8</v>
      </c>
      <c r="V73" s="39">
        <v>8</v>
      </c>
      <c r="W73" s="39">
        <v>8</v>
      </c>
      <c r="X73" s="39" t="s">
        <v>226</v>
      </c>
      <c r="Y73" s="39" t="s">
        <v>219</v>
      </c>
      <c r="Z73" s="39" t="s">
        <v>219</v>
      </c>
      <c r="AA73" s="39" t="s">
        <v>222</v>
      </c>
      <c r="AB73" s="39" t="s">
        <v>222</v>
      </c>
      <c r="AC73" s="39" t="s">
        <v>222</v>
      </c>
      <c r="AD73" s="39" t="s">
        <v>222</v>
      </c>
      <c r="AE73" s="39">
        <v>8</v>
      </c>
      <c r="AF73" s="39" t="s">
        <v>219</v>
      </c>
      <c r="AG73" s="47" t="str">
        <f>VLOOKUP(TRIM(LEFT(B73, FIND(" ", B73 &amp; " ")-1)) &amp; "*", Дані!$A$1:$F$70, 6, FALSE)</f>
        <v>ОНК</v>
      </c>
    </row>
    <row r="74" spans="2:33" ht="14.25">
      <c r="B74" s="25" t="s">
        <v>200</v>
      </c>
      <c r="C74" s="39">
        <v>8</v>
      </c>
      <c r="D74" s="39" t="s">
        <v>219</v>
      </c>
      <c r="E74" s="39" t="s">
        <v>219</v>
      </c>
      <c r="F74" s="39" t="s">
        <v>221</v>
      </c>
      <c r="G74" s="39" t="s">
        <v>221</v>
      </c>
      <c r="H74" s="39" t="s">
        <v>221</v>
      </c>
      <c r="I74" s="39" t="s">
        <v>221</v>
      </c>
      <c r="J74" s="39" t="s">
        <v>221</v>
      </c>
      <c r="K74" s="39" t="s">
        <v>219</v>
      </c>
      <c r="L74" s="39" t="s">
        <v>219</v>
      </c>
      <c r="M74" s="39">
        <v>4</v>
      </c>
      <c r="N74" s="39">
        <v>6</v>
      </c>
      <c r="O74" s="39">
        <v>8</v>
      </c>
      <c r="P74" s="39">
        <v>6</v>
      </c>
      <c r="Q74" s="39">
        <v>4</v>
      </c>
      <c r="R74" s="39" t="s">
        <v>219</v>
      </c>
      <c r="S74" s="39" t="s">
        <v>219</v>
      </c>
      <c r="T74" s="39">
        <v>6</v>
      </c>
      <c r="U74" s="39">
        <v>8</v>
      </c>
      <c r="V74" s="39">
        <v>6</v>
      </c>
      <c r="W74" s="39">
        <v>8</v>
      </c>
      <c r="X74" s="39">
        <v>6</v>
      </c>
      <c r="Y74" s="39" t="s">
        <v>219</v>
      </c>
      <c r="Z74" s="39" t="s">
        <v>219</v>
      </c>
      <c r="AA74" s="39">
        <v>8</v>
      </c>
      <c r="AB74" s="39">
        <v>6</v>
      </c>
      <c r="AC74" s="39">
        <v>8</v>
      </c>
      <c r="AD74" s="39">
        <v>6</v>
      </c>
      <c r="AE74" s="39">
        <v>8</v>
      </c>
      <c r="AF74" s="39" t="s">
        <v>219</v>
      </c>
      <c r="AG74" s="47" t="str">
        <f>VLOOKUP(TRIM(LEFT(B74, FIND(" ", B74 &amp; " ")-1)) &amp; "*", Дані!$A$1:$F$70, 6, FALSE)</f>
        <v>АПС</v>
      </c>
    </row>
    <row r="75" spans="2:33" ht="14.25">
      <c r="B75" s="25" t="s">
        <v>201</v>
      </c>
      <c r="C75" s="39">
        <v>8</v>
      </c>
      <c r="D75" s="39" t="s">
        <v>219</v>
      </c>
      <c r="E75" s="39" t="s">
        <v>219</v>
      </c>
      <c r="F75" s="39" t="s">
        <v>221</v>
      </c>
      <c r="G75" s="39" t="s">
        <v>221</v>
      </c>
      <c r="H75" s="39" t="s">
        <v>221</v>
      </c>
      <c r="I75" s="39" t="s">
        <v>221</v>
      </c>
      <c r="J75" s="39">
        <v>10</v>
      </c>
      <c r="K75" s="39" t="s">
        <v>219</v>
      </c>
      <c r="L75" s="39" t="s">
        <v>219</v>
      </c>
      <c r="M75" s="39">
        <v>4</v>
      </c>
      <c r="N75" s="39">
        <v>6</v>
      </c>
      <c r="O75" s="39">
        <v>8</v>
      </c>
      <c r="P75" s="39">
        <v>6</v>
      </c>
      <c r="Q75" s="39">
        <v>4</v>
      </c>
      <c r="R75" s="39" t="s">
        <v>219</v>
      </c>
      <c r="S75" s="39" t="s">
        <v>221</v>
      </c>
      <c r="T75" s="39" t="s">
        <v>221</v>
      </c>
      <c r="U75" s="39" t="s">
        <v>221</v>
      </c>
      <c r="V75" s="39" t="s">
        <v>221</v>
      </c>
      <c r="W75" s="39">
        <v>8</v>
      </c>
      <c r="X75" s="39">
        <v>6</v>
      </c>
      <c r="Y75" s="39" t="s">
        <v>219</v>
      </c>
      <c r="Z75" s="39" t="s">
        <v>219</v>
      </c>
      <c r="AA75" s="39">
        <v>8</v>
      </c>
      <c r="AB75" s="39">
        <v>6</v>
      </c>
      <c r="AC75" s="39">
        <v>8</v>
      </c>
      <c r="AD75" s="39">
        <v>6</v>
      </c>
      <c r="AE75" s="39">
        <v>8</v>
      </c>
      <c r="AF75" s="39" t="s">
        <v>219</v>
      </c>
      <c r="AG75" s="47" t="str">
        <f>VLOOKUP(TRIM(LEFT(B75, FIND(" ", B75 &amp; " ")-1)) &amp; "*", Дані!$A$1:$F$70, 6, FALSE)</f>
        <v>ТКБ</v>
      </c>
    </row>
    <row r="76" spans="2:33" ht="14.25">
      <c r="B76" s="25" t="s">
        <v>202</v>
      </c>
      <c r="C76" s="39" t="s">
        <v>222</v>
      </c>
      <c r="D76" s="39" t="s">
        <v>226</v>
      </c>
      <c r="E76" s="39" t="s">
        <v>219</v>
      </c>
      <c r="F76" s="39" t="s">
        <v>222</v>
      </c>
      <c r="G76" s="39" t="s">
        <v>222</v>
      </c>
      <c r="H76" s="39">
        <v>8</v>
      </c>
      <c r="I76" s="39">
        <v>8</v>
      </c>
      <c r="J76" s="39">
        <v>8</v>
      </c>
      <c r="K76" s="39" t="s">
        <v>219</v>
      </c>
      <c r="L76" s="39" t="s">
        <v>219</v>
      </c>
      <c r="M76" s="39">
        <v>4</v>
      </c>
      <c r="N76" s="39">
        <v>8</v>
      </c>
      <c r="O76" s="39">
        <v>8</v>
      </c>
      <c r="P76" s="39">
        <v>8</v>
      </c>
      <c r="Q76" s="39">
        <v>8</v>
      </c>
      <c r="R76" s="39" t="s">
        <v>219</v>
      </c>
      <c r="S76" s="39" t="s">
        <v>219</v>
      </c>
      <c r="T76" s="39" t="s">
        <v>221</v>
      </c>
      <c r="U76" s="39" t="s">
        <v>221</v>
      </c>
      <c r="V76" s="39">
        <v>4</v>
      </c>
      <c r="W76" s="39">
        <v>8</v>
      </c>
      <c r="X76" s="39">
        <v>8</v>
      </c>
      <c r="Y76" s="39" t="s">
        <v>219</v>
      </c>
      <c r="Z76" s="39" t="s">
        <v>219</v>
      </c>
      <c r="AA76" s="39">
        <v>8</v>
      </c>
      <c r="AB76" s="39">
        <v>8</v>
      </c>
      <c r="AC76" s="39">
        <v>8</v>
      </c>
      <c r="AD76" s="39">
        <v>8</v>
      </c>
      <c r="AE76" s="39">
        <v>8</v>
      </c>
      <c r="AF76" s="39" t="s">
        <v>219</v>
      </c>
      <c r="AG76" s="47" t="str">
        <f>VLOOKUP(TRIM(LEFT(B76, FIND(" ", B76 &amp; " ")-1)) &amp; "*", Дані!$A$1:$F$70, 6, FALSE)</f>
        <v>ОТД</v>
      </c>
    </row>
    <row r="77" spans="2:33" ht="14.25">
      <c r="B77" s="25" t="s">
        <v>203</v>
      </c>
      <c r="C77" s="39">
        <v>6</v>
      </c>
      <c r="D77" s="39" t="s">
        <v>219</v>
      </c>
      <c r="E77" s="39" t="s">
        <v>219</v>
      </c>
      <c r="F77" s="39">
        <v>8</v>
      </c>
      <c r="G77" s="39">
        <v>8</v>
      </c>
      <c r="H77" s="39">
        <v>8</v>
      </c>
      <c r="I77" s="39">
        <v>8</v>
      </c>
      <c r="J77" s="39">
        <v>8</v>
      </c>
      <c r="K77" s="39" t="s">
        <v>226</v>
      </c>
      <c r="L77" s="39" t="s">
        <v>219</v>
      </c>
      <c r="M77" s="39">
        <v>8</v>
      </c>
      <c r="N77" s="39">
        <v>8</v>
      </c>
      <c r="O77" s="39">
        <v>8</v>
      </c>
      <c r="P77" s="39">
        <v>8</v>
      </c>
      <c r="Q77" s="39">
        <v>8</v>
      </c>
      <c r="R77" s="39" t="s">
        <v>219</v>
      </c>
      <c r="S77" s="39" t="s">
        <v>219</v>
      </c>
      <c r="T77" s="39">
        <v>4</v>
      </c>
      <c r="U77" s="39">
        <v>4</v>
      </c>
      <c r="V77" s="39">
        <v>8</v>
      </c>
      <c r="W77" s="39">
        <v>8</v>
      </c>
      <c r="X77" s="39">
        <v>8</v>
      </c>
      <c r="Y77" s="39" t="s">
        <v>219</v>
      </c>
      <c r="Z77" s="39" t="s">
        <v>219</v>
      </c>
      <c r="AA77" s="39">
        <v>8</v>
      </c>
      <c r="AB77" s="39">
        <v>8</v>
      </c>
      <c r="AC77" s="39">
        <v>6</v>
      </c>
      <c r="AD77" s="39">
        <v>4</v>
      </c>
      <c r="AE77" s="39">
        <v>4</v>
      </c>
      <c r="AF77" s="39" t="s">
        <v>219</v>
      </c>
      <c r="AG77" s="47" t="str">
        <f>VLOOKUP(TRIM(LEFT(B77, FIND(" ", B77 &amp; " ")-1)) &amp; "*", Дані!$A$1:$F$70, 6, FALSE)</f>
        <v>ОТД</v>
      </c>
    </row>
    <row r="78" spans="2:33" ht="14.25">
      <c r="B78" s="25" t="s">
        <v>204</v>
      </c>
      <c r="C78" s="39">
        <v>8</v>
      </c>
      <c r="D78" s="39" t="s">
        <v>219</v>
      </c>
      <c r="E78" s="39" t="s">
        <v>219</v>
      </c>
      <c r="F78" s="39">
        <v>8</v>
      </c>
      <c r="G78" s="39">
        <v>8</v>
      </c>
      <c r="H78" s="39">
        <v>8</v>
      </c>
      <c r="I78" s="39">
        <v>8</v>
      </c>
      <c r="J78" s="39">
        <v>8</v>
      </c>
      <c r="K78" s="39" t="s">
        <v>219</v>
      </c>
      <c r="L78" s="39" t="s">
        <v>219</v>
      </c>
      <c r="M78" s="39" t="s">
        <v>220</v>
      </c>
      <c r="N78" s="39" t="s">
        <v>220</v>
      </c>
      <c r="O78" s="39" t="s">
        <v>220</v>
      </c>
      <c r="P78" s="39" t="s">
        <v>220</v>
      </c>
      <c r="Q78" s="39" t="s">
        <v>220</v>
      </c>
      <c r="R78" s="39" t="s">
        <v>219</v>
      </c>
      <c r="S78" s="39" t="s">
        <v>219</v>
      </c>
      <c r="T78" s="39">
        <v>8</v>
      </c>
      <c r="U78" s="39">
        <v>8</v>
      </c>
      <c r="V78" s="39">
        <v>8</v>
      </c>
      <c r="W78" s="39">
        <v>8</v>
      </c>
      <c r="X78" s="39" t="s">
        <v>226</v>
      </c>
      <c r="Y78" s="39" t="s">
        <v>219</v>
      </c>
      <c r="Z78" s="39" t="s">
        <v>219</v>
      </c>
      <c r="AA78" s="39" t="s">
        <v>222</v>
      </c>
      <c r="AB78" s="39" t="s">
        <v>222</v>
      </c>
      <c r="AC78" s="39" t="s">
        <v>222</v>
      </c>
      <c r="AD78" s="39" t="s">
        <v>222</v>
      </c>
      <c r="AE78" s="39">
        <v>8</v>
      </c>
      <c r="AF78" s="39" t="s">
        <v>219</v>
      </c>
      <c r="AG78" s="47" t="str">
        <f>VLOOKUP(TRIM(LEFT(B78, FIND(" ", B78 &amp; " ")-1)) &amp; "*", Дані!$A$1:$F$70, 6, FALSE)</f>
        <v>ТКБ</v>
      </c>
    </row>
    <row r="79" spans="2:33" ht="14.25">
      <c r="B79" s="25" t="s">
        <v>205</v>
      </c>
      <c r="C79" s="39">
        <v>8</v>
      </c>
      <c r="D79" s="39" t="s">
        <v>219</v>
      </c>
      <c r="E79" s="39" t="s">
        <v>219</v>
      </c>
      <c r="F79" s="39">
        <v>8</v>
      </c>
      <c r="G79" s="39">
        <v>8</v>
      </c>
      <c r="H79" s="39">
        <v>8</v>
      </c>
      <c r="I79" s="39">
        <v>8</v>
      </c>
      <c r="J79" s="39">
        <v>8</v>
      </c>
      <c r="K79" s="39" t="s">
        <v>219</v>
      </c>
      <c r="L79" s="39">
        <v>4</v>
      </c>
      <c r="M79" s="39">
        <v>4</v>
      </c>
      <c r="N79" s="39" t="s">
        <v>219</v>
      </c>
      <c r="O79" s="39" t="s">
        <v>219</v>
      </c>
      <c r="P79" s="39" t="s">
        <v>219</v>
      </c>
      <c r="Q79" s="39">
        <v>4</v>
      </c>
      <c r="R79" s="39" t="s">
        <v>219</v>
      </c>
      <c r="S79" s="39" t="s">
        <v>221</v>
      </c>
      <c r="T79" s="39" t="s">
        <v>221</v>
      </c>
      <c r="U79" s="39" t="s">
        <v>221</v>
      </c>
      <c r="V79" s="39" t="s">
        <v>221</v>
      </c>
      <c r="W79" s="39">
        <v>8</v>
      </c>
      <c r="X79" s="39">
        <v>6</v>
      </c>
      <c r="Y79" s="39" t="s">
        <v>219</v>
      </c>
      <c r="Z79" s="39" t="s">
        <v>219</v>
      </c>
      <c r="AA79" s="39">
        <v>8</v>
      </c>
      <c r="AB79" s="39">
        <v>6</v>
      </c>
      <c r="AC79" s="39">
        <v>8</v>
      </c>
      <c r="AD79" s="39">
        <v>6</v>
      </c>
      <c r="AE79" s="39">
        <v>8</v>
      </c>
      <c r="AF79" s="39" t="s">
        <v>219</v>
      </c>
      <c r="AG79" s="47" t="str">
        <f>VLOOKUP(TRIM(LEFT(B79, FIND(" ", B79 &amp; " ")-1)) &amp; "*", Дані!$A$1:$F$70, 6, FALSE)</f>
        <v>ОНК</v>
      </c>
    </row>
    <row r="80" spans="2:33" ht="14.25">
      <c r="B80" s="25" t="s">
        <v>206</v>
      </c>
      <c r="C80" s="39" t="s">
        <v>222</v>
      </c>
      <c r="D80" s="39" t="s">
        <v>219</v>
      </c>
      <c r="E80" s="39" t="s">
        <v>219</v>
      </c>
      <c r="F80" s="39" t="s">
        <v>222</v>
      </c>
      <c r="G80" s="39" t="s">
        <v>222</v>
      </c>
      <c r="H80" s="39">
        <v>8</v>
      </c>
      <c r="I80" s="39">
        <v>8</v>
      </c>
      <c r="J80" s="39">
        <v>8</v>
      </c>
      <c r="K80" s="39" t="s">
        <v>219</v>
      </c>
      <c r="L80" s="39" t="s">
        <v>219</v>
      </c>
      <c r="M80" s="39" t="s">
        <v>221</v>
      </c>
      <c r="N80" s="39" t="s">
        <v>221</v>
      </c>
      <c r="O80" s="39" t="s">
        <v>222</v>
      </c>
      <c r="P80" s="39" t="s">
        <v>222</v>
      </c>
      <c r="Q80" s="39">
        <v>8</v>
      </c>
      <c r="R80" s="39" t="s">
        <v>219</v>
      </c>
      <c r="S80" s="39" t="s">
        <v>219</v>
      </c>
      <c r="T80" s="39">
        <v>8</v>
      </c>
      <c r="U80" s="39">
        <v>8</v>
      </c>
      <c r="V80" s="39">
        <v>8</v>
      </c>
      <c r="W80" s="39">
        <v>8</v>
      </c>
      <c r="X80" s="39">
        <v>8</v>
      </c>
      <c r="Y80" s="39" t="s">
        <v>219</v>
      </c>
      <c r="Z80" s="39" t="s">
        <v>219</v>
      </c>
      <c r="AA80" s="39">
        <v>8</v>
      </c>
      <c r="AB80" s="39">
        <v>8</v>
      </c>
      <c r="AC80" s="39">
        <v>10</v>
      </c>
      <c r="AD80" s="39">
        <v>8</v>
      </c>
      <c r="AE80" s="39">
        <v>8</v>
      </c>
      <c r="AF80" s="39" t="s">
        <v>219</v>
      </c>
      <c r="AG80" s="47" t="str">
        <f>VLOOKUP(TRIM(LEFT(B80, FIND(" ", B80 &amp; " ")-1)) &amp; "*", Дані!$A$1:$F$70, 6, FALSE)</f>
        <v>ОТД</v>
      </c>
    </row>
    <row r="81" spans="2:33" ht="14.25">
      <c r="B81" s="25" t="s">
        <v>207</v>
      </c>
      <c r="C81" s="39">
        <v>8</v>
      </c>
      <c r="D81" s="39" t="s">
        <v>219</v>
      </c>
      <c r="E81" s="39" t="s">
        <v>219</v>
      </c>
      <c r="F81" s="39" t="s">
        <v>221</v>
      </c>
      <c r="G81" s="39" t="s">
        <v>221</v>
      </c>
      <c r="H81" s="39" t="s">
        <v>221</v>
      </c>
      <c r="I81" s="39" t="s">
        <v>221</v>
      </c>
      <c r="J81" s="39">
        <v>10</v>
      </c>
      <c r="K81" s="39" t="s">
        <v>219</v>
      </c>
      <c r="L81" s="39" t="s">
        <v>219</v>
      </c>
      <c r="M81" s="39">
        <v>4</v>
      </c>
      <c r="N81" s="39">
        <v>6</v>
      </c>
      <c r="O81" s="39">
        <v>8</v>
      </c>
      <c r="P81" s="39">
        <v>6</v>
      </c>
      <c r="Q81" s="39">
        <v>4</v>
      </c>
      <c r="R81" s="39" t="s">
        <v>219</v>
      </c>
      <c r="S81" s="39" t="s">
        <v>221</v>
      </c>
      <c r="T81" s="39" t="s">
        <v>221</v>
      </c>
      <c r="U81" s="39" t="s">
        <v>221</v>
      </c>
      <c r="V81" s="39" t="s">
        <v>221</v>
      </c>
      <c r="W81" s="39">
        <v>8</v>
      </c>
      <c r="X81" s="39">
        <v>6</v>
      </c>
      <c r="Y81" s="39" t="s">
        <v>219</v>
      </c>
      <c r="Z81" s="39" t="s">
        <v>219</v>
      </c>
      <c r="AA81" s="39">
        <v>8</v>
      </c>
      <c r="AB81" s="39">
        <v>6</v>
      </c>
      <c r="AC81" s="39">
        <v>8</v>
      </c>
      <c r="AD81" s="39">
        <v>6</v>
      </c>
      <c r="AE81" s="39">
        <v>8</v>
      </c>
      <c r="AF81" s="39" t="s">
        <v>219</v>
      </c>
      <c r="AG81" s="47" t="str">
        <f>VLOOKUP(TRIM(LEFT(B81, FIND(" ", B81 &amp; " ")-1)) &amp; "*", Дані!$A$1:$F$70, 6, FALSE)</f>
        <v>ОТД</v>
      </c>
    </row>
    <row r="82" spans="2:33" ht="14.25">
      <c r="B82" s="25" t="s">
        <v>208</v>
      </c>
      <c r="C82" s="39" t="s">
        <v>222</v>
      </c>
      <c r="D82" s="39" t="s">
        <v>219</v>
      </c>
      <c r="E82" s="39" t="s">
        <v>219</v>
      </c>
      <c r="F82" s="39" t="s">
        <v>222</v>
      </c>
      <c r="G82" s="39" t="s">
        <v>222</v>
      </c>
      <c r="H82" s="39">
        <v>8</v>
      </c>
      <c r="I82" s="39">
        <v>8</v>
      </c>
      <c r="J82" s="39">
        <v>8</v>
      </c>
      <c r="K82" s="39" t="s">
        <v>219</v>
      </c>
      <c r="L82" s="39" t="s">
        <v>219</v>
      </c>
      <c r="M82" s="39">
        <v>4</v>
      </c>
      <c r="N82" s="39">
        <v>8</v>
      </c>
      <c r="O82" s="39">
        <v>8</v>
      </c>
      <c r="P82" s="39">
        <v>8</v>
      </c>
      <c r="Q82" s="39">
        <v>8</v>
      </c>
      <c r="R82" s="39" t="s">
        <v>219</v>
      </c>
      <c r="S82" s="39" t="s">
        <v>219</v>
      </c>
      <c r="T82" s="39" t="s">
        <v>221</v>
      </c>
      <c r="U82" s="39" t="s">
        <v>221</v>
      </c>
      <c r="V82" s="39">
        <v>4</v>
      </c>
      <c r="W82" s="39">
        <v>8</v>
      </c>
      <c r="X82" s="39">
        <v>8</v>
      </c>
      <c r="Y82" s="39" t="s">
        <v>219</v>
      </c>
      <c r="Z82" s="39" t="s">
        <v>219</v>
      </c>
      <c r="AA82" s="39">
        <v>8</v>
      </c>
      <c r="AB82" s="39">
        <v>8</v>
      </c>
      <c r="AC82" s="39">
        <v>8</v>
      </c>
      <c r="AD82" s="39">
        <v>8</v>
      </c>
      <c r="AE82" s="39">
        <v>8</v>
      </c>
      <c r="AF82" s="39" t="s">
        <v>219</v>
      </c>
      <c r="AG82" s="47" t="str">
        <f>VLOOKUP(TRIM(LEFT(B82, FIND(" ", B82 &amp; " ")-1)) &amp; "*", Дані!$A$1:$F$70, 6, FALSE)</f>
        <v>ОТД</v>
      </c>
    </row>
    <row r="83" spans="2:33" ht="14.25">
      <c r="B83" s="25" t="s">
        <v>209</v>
      </c>
      <c r="C83" s="39">
        <v>8</v>
      </c>
      <c r="D83" s="39" t="s">
        <v>219</v>
      </c>
      <c r="E83" s="39" t="s">
        <v>219</v>
      </c>
      <c r="F83" s="39" t="s">
        <v>221</v>
      </c>
      <c r="G83" s="39" t="s">
        <v>221</v>
      </c>
      <c r="H83" s="39" t="s">
        <v>221</v>
      </c>
      <c r="I83" s="39" t="s">
        <v>221</v>
      </c>
      <c r="J83" s="39" t="s">
        <v>221</v>
      </c>
      <c r="K83" s="39" t="s">
        <v>219</v>
      </c>
      <c r="L83" s="39" t="s">
        <v>219</v>
      </c>
      <c r="M83" s="39">
        <v>4</v>
      </c>
      <c r="N83" s="39">
        <v>6</v>
      </c>
      <c r="O83" s="39">
        <v>8</v>
      </c>
      <c r="P83" s="39">
        <v>6</v>
      </c>
      <c r="Q83" s="39">
        <v>4</v>
      </c>
      <c r="R83" s="39" t="s">
        <v>219</v>
      </c>
      <c r="S83" s="39" t="s">
        <v>219</v>
      </c>
      <c r="T83" s="39">
        <v>6</v>
      </c>
      <c r="U83" s="39">
        <v>8</v>
      </c>
      <c r="V83" s="39">
        <v>6</v>
      </c>
      <c r="W83" s="39">
        <v>8</v>
      </c>
      <c r="X83" s="39" t="s">
        <v>226</v>
      </c>
      <c r="Y83" s="39" t="s">
        <v>219</v>
      </c>
      <c r="Z83" s="39" t="s">
        <v>219</v>
      </c>
      <c r="AA83" s="39">
        <v>8</v>
      </c>
      <c r="AB83" s="39">
        <v>6</v>
      </c>
      <c r="AC83" s="39">
        <v>8</v>
      </c>
      <c r="AD83" s="39">
        <v>6</v>
      </c>
      <c r="AE83" s="39">
        <v>8</v>
      </c>
      <c r="AF83" s="39" t="s">
        <v>219</v>
      </c>
      <c r="AG83" s="47" t="str">
        <f>VLOOKUP(TRIM(LEFT(B83, FIND(" ", B83 &amp; " ")-1)) &amp; "*", Дані!$A$1:$F$70, 6, FALSE)</f>
        <v>ОНК</v>
      </c>
    </row>
    <row r="84" spans="2:33" ht="14.25">
      <c r="B84" s="25" t="s">
        <v>210</v>
      </c>
      <c r="C84" s="39">
        <v>8</v>
      </c>
      <c r="D84" s="39" t="s">
        <v>219</v>
      </c>
      <c r="E84" s="39" t="s">
        <v>219</v>
      </c>
      <c r="F84" s="39">
        <v>8</v>
      </c>
      <c r="G84" s="39">
        <v>8</v>
      </c>
      <c r="H84" s="39">
        <v>8</v>
      </c>
      <c r="I84" s="39">
        <v>8</v>
      </c>
      <c r="J84" s="39">
        <v>8</v>
      </c>
      <c r="K84" s="39" t="s">
        <v>219</v>
      </c>
      <c r="L84" s="39" t="s">
        <v>219</v>
      </c>
      <c r="M84" s="39" t="s">
        <v>220</v>
      </c>
      <c r="N84" s="39" t="s">
        <v>220</v>
      </c>
      <c r="O84" s="39" t="s">
        <v>220</v>
      </c>
      <c r="P84" s="39" t="s">
        <v>220</v>
      </c>
      <c r="Q84" s="39" t="s">
        <v>220</v>
      </c>
      <c r="R84" s="39" t="s">
        <v>219</v>
      </c>
      <c r="S84" s="39" t="s">
        <v>219</v>
      </c>
      <c r="T84" s="39">
        <v>8</v>
      </c>
      <c r="U84" s="39">
        <v>8</v>
      </c>
      <c r="V84" s="39">
        <v>8</v>
      </c>
      <c r="W84" s="39">
        <v>8</v>
      </c>
      <c r="X84" s="39" t="s">
        <v>226</v>
      </c>
      <c r="Y84" s="39" t="s">
        <v>219</v>
      </c>
      <c r="Z84" s="39" t="s">
        <v>219</v>
      </c>
      <c r="AA84" s="39" t="s">
        <v>222</v>
      </c>
      <c r="AB84" s="39" t="s">
        <v>222</v>
      </c>
      <c r="AC84" s="39" t="s">
        <v>222</v>
      </c>
      <c r="AD84" s="39" t="s">
        <v>222</v>
      </c>
      <c r="AE84" s="39">
        <v>8</v>
      </c>
      <c r="AF84" s="39" t="s">
        <v>219</v>
      </c>
      <c r="AG84" s="47" t="str">
        <f>VLOOKUP(TRIM(LEFT(B84, FIND(" ", B84 &amp; " ")-1)) &amp; "*", Дані!$A$1:$F$70, 6, FALSE)</f>
        <v>ТКБ</v>
      </c>
    </row>
    <row r="85" spans="2:33" ht="14.25">
      <c r="B85" s="25" t="s">
        <v>211</v>
      </c>
      <c r="C85" s="39">
        <v>8</v>
      </c>
      <c r="D85" s="39" t="s">
        <v>219</v>
      </c>
      <c r="E85" s="39" t="s">
        <v>219</v>
      </c>
      <c r="F85" s="39">
        <v>8</v>
      </c>
      <c r="G85" s="39">
        <v>8</v>
      </c>
      <c r="H85" s="39">
        <v>8</v>
      </c>
      <c r="I85" s="39">
        <v>8</v>
      </c>
      <c r="J85" s="39">
        <v>8</v>
      </c>
      <c r="K85" s="39" t="s">
        <v>219</v>
      </c>
      <c r="L85" s="39" t="s">
        <v>219</v>
      </c>
      <c r="M85" s="39" t="s">
        <v>220</v>
      </c>
      <c r="N85" s="39" t="s">
        <v>220</v>
      </c>
      <c r="O85" s="39" t="s">
        <v>220</v>
      </c>
      <c r="P85" s="39" t="s">
        <v>220</v>
      </c>
      <c r="Q85" s="39" t="s">
        <v>220</v>
      </c>
      <c r="R85" s="39" t="s">
        <v>219</v>
      </c>
      <c r="S85" s="39" t="s">
        <v>219</v>
      </c>
      <c r="T85" s="39">
        <v>8</v>
      </c>
      <c r="U85" s="39">
        <v>8</v>
      </c>
      <c r="V85" s="39">
        <v>8</v>
      </c>
      <c r="W85" s="39">
        <v>8</v>
      </c>
      <c r="X85" s="39" t="s">
        <v>226</v>
      </c>
      <c r="Y85" s="39" t="s">
        <v>219</v>
      </c>
      <c r="Z85" s="39" t="s">
        <v>219</v>
      </c>
      <c r="AA85" s="39" t="s">
        <v>222</v>
      </c>
      <c r="AB85" s="39" t="s">
        <v>222</v>
      </c>
      <c r="AC85" s="39" t="s">
        <v>222</v>
      </c>
      <c r="AD85" s="39" t="s">
        <v>222</v>
      </c>
      <c r="AE85" s="39">
        <v>8</v>
      </c>
      <c r="AF85" s="39" t="s">
        <v>219</v>
      </c>
      <c r="AG85" s="47" t="str">
        <f>VLOOKUP(TRIM(LEFT(B85, FIND(" ", B85 &amp; " ")-1)) &amp; "*", Дані!$A$1:$F$70, 6, FALSE)</f>
        <v>ОТД</v>
      </c>
    </row>
    <row r="89" spans="2:33">
      <c r="B89" s="34">
        <v>2</v>
      </c>
    </row>
    <row r="90" spans="2:33">
      <c r="C90" s="37" t="s">
        <v>113</v>
      </c>
      <c r="D90" s="48" t="s">
        <v>230</v>
      </c>
      <c r="E90" s="37" t="s">
        <v>231</v>
      </c>
      <c r="F90" s="37" t="s">
        <v>232</v>
      </c>
      <c r="G90" s="37" t="s">
        <v>233</v>
      </c>
      <c r="H90" s="37" t="s">
        <v>234</v>
      </c>
      <c r="K90" s="36" t="s">
        <v>229</v>
      </c>
    </row>
    <row r="91" spans="2:33">
      <c r="C91" s="37" t="s">
        <v>5</v>
      </c>
      <c r="D91" s="49">
        <f ca="1">SUMPRODUCT(($AG$18:$AG$85="АПС")*(COUNTIF(INDIRECT("C"&amp;ROW($18:$85)&amp;":AF"&amp;ROW($18:$85)),"Відр")&gt;0))</f>
        <v>7</v>
      </c>
      <c r="E91" s="51">
        <f ca="1">SUMPRODUCT(($AG$18:$AG$85="АПС")*(COUNTIF(INDIRECT("C"&amp;ROW($18:$85)&amp;":AF"&amp;ROW($18:$85)),"Відпус")&gt;0))</f>
        <v>3</v>
      </c>
      <c r="F91" s="51">
        <f ca="1">SUMPRODUCT(($AG$18:$AG$85="АПС")*(COUNTIF(INDIRECT("C"&amp;ROW($18:$85)&amp;":AF"&amp;ROW($18:$85)),"Л")&gt;0))</f>
        <v>2</v>
      </c>
      <c r="G91" s="51">
        <f ca="1">SUMPRODUCT(($AG$18:$AG$85="АПС")*(COUNTIF(INDIRECT("C"&amp;ROW($18:$85)&amp;":AF"&amp;ROW($18:$85)),"пр")&gt;0))</f>
        <v>3</v>
      </c>
      <c r="H91" s="50">
        <f>SUMPRODUCT(($AG$18:$AG$85="АПС")*(ISNUMBER($C$18:$AF$85)),$C$18:$AF$85)</f>
        <v>1416</v>
      </c>
      <c r="K91" s="36" t="s">
        <v>223</v>
      </c>
    </row>
    <row r="92" spans="2:33">
      <c r="C92" s="37" t="s">
        <v>10</v>
      </c>
      <c r="D92" s="52">
        <f ca="1">SUMPRODUCT(($AG$18:$AG$85="ТКБ")*(COUNTIF(INDIRECT("C"&amp;ROW($18:$85)&amp;":AF"&amp;ROW($18:$85)),"Відр")&gt;0))</f>
        <v>14</v>
      </c>
      <c r="E92" s="51">
        <f ca="1">SUMPRODUCT(($AG$18:$AG$85="ТКБ")*(COUNTIF(INDIRECT("C"&amp;ROW($18:$85)&amp;":AF"&amp;ROW($18:$85)),"Відпус")&gt;0))</f>
        <v>9</v>
      </c>
      <c r="F92" s="50">
        <f ca="1">SUMPRODUCT(($AG$18:$AG$85="ТКБ")*(COUNTIF(INDIRECT("C"&amp;ROW($18:$85)&amp;":AF"&amp;ROW($18:$85)),"Л")&gt;0))</f>
        <v>3</v>
      </c>
      <c r="G92" s="50">
        <f ca="1">SUMPRODUCT(($AG$18:$AG$85="ТКБ")*(COUNTIF(INDIRECT("C"&amp;ROW($18:$85)&amp;":AF"&amp;ROW($18:$85)),"пр")&gt;0))</f>
        <v>4</v>
      </c>
      <c r="H92" s="50">
        <f>SUMPRODUCT(($AG$18:$AG$85="ТКБ")*(ISNUMBER($C$18:$AF$85)),$C$18:$AF$85)</f>
        <v>2595</v>
      </c>
      <c r="K92" s="36" t="s">
        <v>224</v>
      </c>
    </row>
    <row r="93" spans="2:33">
      <c r="C93" s="37" t="s">
        <v>13</v>
      </c>
      <c r="D93" s="49">
        <f ca="1">SUMPRODUCT(($AG$18:$AG$85="ОТД")*(COUNTIF(INDIRECT("C"&amp;ROW($18:$85)&amp;":AF"&amp;ROW($18:$85)),"Відр")&gt;0))</f>
        <v>14</v>
      </c>
      <c r="E93" s="50">
        <f ca="1">SUMPRODUCT(($AG$18:$AG$85="ОТД")*(COUNTIF(INDIRECT("C"&amp;ROW($18:$85)&amp;":AF"&amp;ROW($18:$85)),"Відпус")&gt;0))</f>
        <v>11</v>
      </c>
      <c r="F93" s="50">
        <f ca="1">SUMPRODUCT(($AG$18:$AG$85="ОТД")*(COUNTIF(INDIRECT("C"&amp;ROW($18:$85)&amp;":AF"&amp;ROW($18:$85)),"Л")&gt;0))</f>
        <v>5</v>
      </c>
      <c r="G93" s="50">
        <f ca="1">SUMPRODUCT(($AG$18:$AG$85="ОТД")*(SUMIF(INDIRECT("C"&amp;ROW($18:$85)&amp;":AF"&amp;ROW($18:$85)),{"п","пр"})&gt;0))</f>
        <v>0</v>
      </c>
      <c r="H93" s="50">
        <f>SUMPRODUCT(($AG$18:$AG$85="ОТД")*(ISNUMBER($C$18:$AF$85)),$C$18:$AF$85)</f>
        <v>2374</v>
      </c>
      <c r="K93" s="36" t="s">
        <v>225</v>
      </c>
    </row>
    <row r="94" spans="2:33">
      <c r="C94" s="37" t="s">
        <v>18</v>
      </c>
      <c r="D94" s="49">
        <f ca="1">SUMPRODUCT(($AG$18:$AG$85="ОНК")*(COUNTIF(INDIRECT("C"&amp;ROW($18:$85)&amp;":AF"&amp;ROW($18:$85)),"Відр")&gt;0))</f>
        <v>10</v>
      </c>
      <c r="E94" s="50">
        <f ca="1">SUMPRODUCT(($AG$18:$AG$85="ОНК")*(COUNTIF(INDIRECT("C"&amp;ROW($18:$85)&amp;":AF"&amp;ROW($18:$85)),"Відпус")&gt;0))</f>
        <v>5</v>
      </c>
      <c r="F94" s="50">
        <f ca="1">SUMPRODUCT(($AG$18:$AG$85="ОНК")*(COUNTIF(INDIRECT("C"&amp;ROW($18:$85)&amp;":AF"&amp;ROW($18:$85)),"Л")&gt;0))</f>
        <v>7</v>
      </c>
      <c r="G94" s="50">
        <f ca="1">SUMPRODUCT(($AG$18:$AG$85="ОНК")*(SUMIF(INDIRECT("C"&amp;ROW($18:$85)&amp;":AF"&amp;ROW($18:$85)),{"п","пр"})&gt;0))</f>
        <v>0</v>
      </c>
      <c r="H94" s="50">
        <f>SUMPRODUCT(($AG$18:$AG$85="ОНК")*(ISNUMBER($C$18:$AF$85)),$C$18:$AF$85)</f>
        <v>1309</v>
      </c>
      <c r="K94" s="36" t="s">
        <v>227</v>
      </c>
    </row>
    <row r="95" spans="2:33">
      <c r="K95" s="36" t="s">
        <v>228</v>
      </c>
    </row>
  </sheetData>
  <conditionalFormatting sqref="C18:AF85">
    <cfRule type="containsText" dxfId="5" priority="1" operator="containsText" text="Відпус">
      <formula>NOT(ISERROR(SEARCH("Відпус",C18)))</formula>
    </cfRule>
    <cfRule type="containsText" dxfId="4" priority="2" operator="containsText" text="Відр">
      <formula>NOT(ISERROR(SEARCH("Відр",C18)))</formula>
    </cfRule>
    <cfRule type="containsText" dxfId="3" priority="3" operator="containsText" text="пр">
      <formula>NOT(ISERROR(SEARCH("пр",C18)))</formula>
    </cfRule>
    <cfRule type="containsText" dxfId="2" priority="4" operator="containsText" text="Л">
      <formula>NOT(ISERROR(SEARCH("Л",C18)))</formula>
    </cfRule>
    <cfRule type="containsText" dxfId="1" priority="5" operator="containsText" text="В">
      <formula>NOT(ISERROR(SEARCH("В",C18)))</formula>
    </cfRule>
    <cfRule type="containsText" dxfId="0" priority="6" operator="containsText" text="Відпус">
      <formula>NOT(ISERROR(SEARCH("Відпус",C18)))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BDEC-A057-43E7-B0B9-0DF19A33EFC8}">
  <dimension ref="B1:I40"/>
  <sheetViews>
    <sheetView workbookViewId="0">
      <selection activeCell="D22" sqref="D22"/>
    </sheetView>
  </sheetViews>
  <sheetFormatPr defaultColWidth="8.7109375" defaultRowHeight="12"/>
  <cols>
    <col min="1" max="1" width="8.7109375" style="19"/>
    <col min="2" max="2" width="31.140625" style="19" customWidth="1"/>
    <col min="3" max="3" width="16.7109375" style="19" customWidth="1"/>
    <col min="4" max="4" width="22.7109375" style="19" customWidth="1"/>
    <col min="5" max="5" width="17.140625" style="19" customWidth="1"/>
    <col min="6" max="6" width="16.85546875" style="19" customWidth="1"/>
    <col min="7" max="16384" width="8.7109375" style="19"/>
  </cols>
  <sheetData>
    <row r="1" spans="2:9">
      <c r="B1" s="33" t="s">
        <v>212</v>
      </c>
    </row>
    <row r="3" spans="2:9">
      <c r="B3" s="19" t="s">
        <v>369</v>
      </c>
    </row>
    <row r="5" spans="2:9">
      <c r="B5" s="25" t="s">
        <v>238</v>
      </c>
      <c r="C5" s="25" t="s">
        <v>239</v>
      </c>
      <c r="D5" s="25" t="s">
        <v>240</v>
      </c>
      <c r="E5" s="25" t="s">
        <v>241</v>
      </c>
      <c r="G5" s="19" t="s">
        <v>242</v>
      </c>
    </row>
    <row r="6" spans="2:9">
      <c r="B6" s="25" t="s">
        <v>5</v>
      </c>
      <c r="C6" s="25">
        <f>COUNTIF('Завдання 1'!$AG$18:$AG$85, "АПС")</f>
        <v>12</v>
      </c>
      <c r="D6" s="46">
        <f>SUMIF(Дані!$F$2:$F$70, "АПС", Дані!$J$2:$J$70)</f>
        <v>2000</v>
      </c>
      <c r="E6" s="46">
        <f>SUMIF(Дані!$F$2:$F$70, "АПС", Дані!$K$2:$K$70)</f>
        <v>75817.759999999995</v>
      </c>
      <c r="G6" s="31" t="s">
        <v>248</v>
      </c>
      <c r="I6" s="32" t="s">
        <v>243</v>
      </c>
    </row>
    <row r="7" spans="2:9">
      <c r="B7" s="25" t="s">
        <v>18</v>
      </c>
      <c r="C7" s="25">
        <f>COUNTIF('Завдання 1'!$AG$18:$AG$85, "ОНК")</f>
        <v>13</v>
      </c>
      <c r="D7" s="46">
        <f>SUMIF(Дані!$F$2:$F$70, "ОНК", Дані!$J$2:$J$70)</f>
        <v>1777</v>
      </c>
      <c r="E7" s="46">
        <f>SUMIF(Дані!$F$2:$F$70, "ОНК", Дані!$K$2:$K$70)</f>
        <v>69432.55</v>
      </c>
      <c r="G7" s="31" t="s">
        <v>244</v>
      </c>
      <c r="I7" s="32" t="s">
        <v>245</v>
      </c>
    </row>
    <row r="8" spans="2:9">
      <c r="B8" s="25" t="s">
        <v>13</v>
      </c>
      <c r="C8" s="25">
        <f>COUNTIF('Завдання 1'!$AG$18:$AG$85, "ОТД")</f>
        <v>21</v>
      </c>
      <c r="D8" s="46">
        <f>SUMIF(Дані!$F$2:$F$70, "ОТД", Дані!$J$2:$J$70)</f>
        <v>3175</v>
      </c>
      <c r="E8" s="46">
        <f>SUMIF(Дані!$F$2:$F$70, "ОТД", Дані!$K$2:$K$70)</f>
        <v>40065.610000000008</v>
      </c>
      <c r="G8" s="31" t="s">
        <v>246</v>
      </c>
      <c r="I8" s="32" t="s">
        <v>247</v>
      </c>
    </row>
    <row r="9" spans="2:9">
      <c r="B9" s="25" t="s">
        <v>10</v>
      </c>
      <c r="C9" s="25">
        <f>COUNTIF('Завдання 1'!$AG$18:$AG$85, "ТКБ")</f>
        <v>22</v>
      </c>
      <c r="D9" s="46">
        <f>SUMIF(Дані!$F$2:$F$70, "ТКБ", Дані!$J$2:$J$70)</f>
        <v>3286</v>
      </c>
      <c r="E9" s="46">
        <f>SUMIF(Дані!$F$2:$F$70, "ТКБ", Дані!$K$2:$K$70)</f>
        <v>62826.19</v>
      </c>
      <c r="I9" s="31"/>
    </row>
    <row r="10" spans="2:9">
      <c r="I10" s="31"/>
    </row>
    <row r="11" spans="2:9">
      <c r="B11" s="19" t="s">
        <v>249</v>
      </c>
    </row>
    <row r="13" spans="2:9">
      <c r="B13" s="25"/>
      <c r="C13" s="25" t="s">
        <v>250</v>
      </c>
      <c r="D13" s="25" t="s">
        <v>251</v>
      </c>
      <c r="E13" s="25" t="s">
        <v>370</v>
      </c>
    </row>
    <row r="14" spans="2:9">
      <c r="B14" s="25" t="s">
        <v>236</v>
      </c>
      <c r="C14" s="46">
        <f>SUMIF(Дані!$D$2:$D$70, "М", Дані!$G$2:$G$70)</f>
        <v>200493</v>
      </c>
      <c r="D14" s="46">
        <f>AVERAGEIF(Дані!$D$2:$D$70, "М", Дані!$G$2:$G$70)</f>
        <v>3855.6346153846152</v>
      </c>
      <c r="E14" s="46">
        <f>SUMIF(Дані!$D$2:$D$70, "М", Дані!$J$2:$J$70)</f>
        <v>7451</v>
      </c>
    </row>
    <row r="15" spans="2:9">
      <c r="B15" s="25" t="s">
        <v>237</v>
      </c>
      <c r="C15" s="46">
        <f>SUMIF(Дані!$D$2:$D$70, "Ж", Дані!$G$2:$G$70)</f>
        <v>72960</v>
      </c>
      <c r="D15" s="46">
        <f>AVERAGEIF(Дані!$D$2:$D$70, "Ж", Дані!$G$2:$G$70)</f>
        <v>4560</v>
      </c>
      <c r="E15" s="46">
        <f>SUMIF(Дані!$D$2:$D$70, "Ж", Дані!$J$2:$J$70)</f>
        <v>2787</v>
      </c>
    </row>
    <row r="17" spans="2:5">
      <c r="B17" s="19" t="s">
        <v>371</v>
      </c>
    </row>
    <row r="18" spans="2:5">
      <c r="B18" s="19" t="s">
        <v>253</v>
      </c>
    </row>
    <row r="20" spans="2:5">
      <c r="B20" s="25" t="s">
        <v>238</v>
      </c>
      <c r="C20" s="25" t="s">
        <v>254</v>
      </c>
    </row>
    <row r="21" spans="2:5">
      <c r="B21" s="25" t="s">
        <v>5</v>
      </c>
      <c r="C21" s="25">
        <f>SUMIF(Дані!$F$2:$F$70, "АПС", Дані!$L$2:$L$70)</f>
        <v>17046.400000000001</v>
      </c>
    </row>
    <row r="22" spans="2:5">
      <c r="B22" s="25" t="s">
        <v>18</v>
      </c>
      <c r="C22" s="25">
        <f>SUMIF(Дані!$F$2:$F$70, "ОНК", Дані!$L$2:$L$70)</f>
        <v>18100</v>
      </c>
    </row>
    <row r="23" spans="2:5">
      <c r="B23" s="25" t="s">
        <v>13</v>
      </c>
      <c r="C23" s="25">
        <f>SUMIF(Дані!$F$2:$F$70, "ОТД", Дані!$L$2:$L$70)</f>
        <v>8536.5</v>
      </c>
    </row>
    <row r="24" spans="2:5">
      <c r="B24" s="25" t="s">
        <v>10</v>
      </c>
      <c r="C24" s="25">
        <f>SUMIF(Дані!$F$2:$F$70, "ТКБ", Дані!$L$2:$L$70)</f>
        <v>12724.2</v>
      </c>
    </row>
    <row r="26" spans="2:5">
      <c r="B26" s="19" t="s">
        <v>372</v>
      </c>
    </row>
    <row r="28" spans="2:5">
      <c r="B28" s="50" t="s">
        <v>238</v>
      </c>
      <c r="C28" s="50" t="s">
        <v>287</v>
      </c>
      <c r="D28" s="50" t="s">
        <v>289</v>
      </c>
      <c r="E28" s="50" t="s">
        <v>288</v>
      </c>
    </row>
    <row r="29" spans="2:5">
      <c r="B29" s="50" t="s">
        <v>5</v>
      </c>
      <c r="C29" s="50">
        <f>COUNTIFS(Дані!$F$2:$F$70, "АПС", Дані!$G$2:$G$70, "&lt;4000")</f>
        <v>2</v>
      </c>
      <c r="D29" s="51">
        <f>COUNTIFS(Дані!$F$2:$F$70, "АПС", Дані!$G$2:$G$70, "&gt;=4000", Дані!$G$2:$G$70, "&lt;=7500")</f>
        <v>6</v>
      </c>
      <c r="E29" s="62">
        <f>COUNTIFS(Дані!$F$2:$F$70, "АПС", Дані!$G$2:$G$70, "&gt;7500")</f>
        <v>4</v>
      </c>
    </row>
    <row r="30" spans="2:5">
      <c r="B30" s="50" t="s">
        <v>18</v>
      </c>
      <c r="C30" s="50">
        <f>COUNTIFS(Дані!$F$2:$F$70, "ОНК", Дані!$G$2:$G$70, "&lt;4000")</f>
        <v>1</v>
      </c>
      <c r="D30" s="50">
        <f>COUNTIFS(Дані!$F$2:$F$70, "ОНК", Дані!$G$2:$G$70, "&gt;=4000", Дані!$G$2:$G$70, "&lt;=7500")</f>
        <v>8</v>
      </c>
      <c r="E30" s="50">
        <f>COUNTIFS(Дані!$F$2:$F$70, "ОНК", Дані!$G$2:$G$70, "&gt;7500")</f>
        <v>4</v>
      </c>
    </row>
    <row r="31" spans="2:5">
      <c r="B31" s="50" t="s">
        <v>13</v>
      </c>
      <c r="C31" s="50">
        <f>COUNTIFS(Дані!$F$2:$F$70, "ОТД", Дані!$G$2:$G$70, "&lt;4000")</f>
        <v>21</v>
      </c>
      <c r="D31" s="50">
        <f>COUNTIFS(Дані!$F$2:$F$70, "ОТД", Дані!$G$2:$G$70, "&gt;=4000", Дані!$G$2:$G$70, "&lt;=7500")</f>
        <v>0</v>
      </c>
      <c r="E31" s="50">
        <f>COUNTIFS(Дані!$F$2:$F$70, "ОТД", Дані!$G$2:$G$70, "&gt;7500")</f>
        <v>0</v>
      </c>
    </row>
    <row r="32" spans="2:5">
      <c r="B32" s="50" t="s">
        <v>10</v>
      </c>
      <c r="C32" s="50">
        <f>COUNTIFS(Дані!$F$2:$F$70, "ТКБ", Дані!$G$2:$G$70, "&lt;4000")</f>
        <v>19</v>
      </c>
      <c r="D32" s="50">
        <f>COUNTIFS(Дані!$F$2:$F$70, "ТКБ", Дані!$G$2:$G$70, "&gt;=4000", Дані!$G$2:$G$70, "&lt;=7500")</f>
        <v>3</v>
      </c>
      <c r="E32" s="50">
        <f>COUNTIFS(Дані!$F$2:$F$70, "ТКБ", Дані!$G$2:$G$70, "&gt;7500")</f>
        <v>0</v>
      </c>
    </row>
    <row r="34" spans="2:5">
      <c r="B34" s="19" t="s">
        <v>291</v>
      </c>
    </row>
    <row r="36" spans="2:5">
      <c r="B36" s="50" t="s">
        <v>238</v>
      </c>
      <c r="C36" s="50" t="s">
        <v>290</v>
      </c>
      <c r="D36" s="50" t="s">
        <v>375</v>
      </c>
      <c r="E36" s="50" t="s">
        <v>292</v>
      </c>
    </row>
    <row r="37" spans="2:5">
      <c r="B37" s="50" t="s">
        <v>5</v>
      </c>
      <c r="C37" s="50">
        <f>COUNTIFS(Дані!$F$2:$F$70, "АПС", Дані!$M$2:$M$70, "&gt;=1936", Дані!$M$2:$M$70, "&lt;=1956")</f>
        <v>9</v>
      </c>
      <c r="D37" s="50">
        <f>COUNTIFS(Дані!$F$2:$F$70, "АПС", Дані!$M$2:$M$70, "&gt;=1957", Дані!$M$2:$M$70, "&lt;=1965")</f>
        <v>1</v>
      </c>
      <c r="E37" s="51">
        <f>COUNTIFS(Дані!$F$2:$F$70, "АПС", Дані!$M$2:$M$70, "&gt;1965")</f>
        <v>2</v>
      </c>
    </row>
    <row r="38" spans="2:5">
      <c r="B38" s="50" t="s">
        <v>18</v>
      </c>
      <c r="C38" s="50">
        <f>COUNTIFS(Дані!$F$2:$F$70, "ОНК", Дані!$M$2:$M$70, "&gt;=1936", Дані!$M$2:$M$70, "&lt;=1956")</f>
        <v>7</v>
      </c>
      <c r="D38" s="50">
        <f>COUNTIFS(Дані!$F$2:$F$70, "ОНК", Дані!$M$2:$M$70, "&gt;=1957", Дані!$M$2:$M$70, "&lt;=1965")</f>
        <v>3</v>
      </c>
      <c r="E38" s="50">
        <f>COUNTIFS(Дані!$F$2:$F$70, "ОНК", Дані!$M$2:$M$70, "&gt;1965")</f>
        <v>3</v>
      </c>
    </row>
    <row r="39" spans="2:5">
      <c r="B39" s="50" t="s">
        <v>13</v>
      </c>
      <c r="C39" s="50">
        <f>COUNTIFS(Дані!$F$2:$F$70, "ОТД", Дані!$M$2:$M$70, "&gt;=1936", Дані!$M$2:$M$70, "&lt;=1956")</f>
        <v>10</v>
      </c>
      <c r="D39" s="50">
        <f>COUNTIFS(Дані!$F$2:$F$70, "ОТД", Дані!$M$2:$M$70, "&gt;=1957", Дані!$M$2:$M$70, "&lt;=1965")</f>
        <v>8</v>
      </c>
      <c r="E39" s="50">
        <f>COUNTIFS(Дані!$F$2:$F$70, "ОТД", Дані!$M$2:$M$70, "&gt;1965")</f>
        <v>3</v>
      </c>
    </row>
    <row r="40" spans="2:5">
      <c r="B40" s="50" t="s">
        <v>10</v>
      </c>
      <c r="C40" s="50">
        <f>COUNTIFS(Дані!$F$2:$F$70, "ТКБ", Дані!$M$2:$M$70, "&gt;=1936", Дані!$M$2:$M$70, "&lt;=1956")</f>
        <v>15</v>
      </c>
      <c r="D40" s="50">
        <f>COUNTIFS(Дані!$F$2:$F$70, "ТКБ", Дані!$M$2:$M$70, "&gt;=1957", Дані!$M$2:$M$70, "&lt;=1965")</f>
        <v>4</v>
      </c>
      <c r="E40" s="50">
        <f>COUNTIFS(Дані!$F$2:$F$70, "ТКБ", Дані!$M$2:$M$70, "&gt;1965")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016D-2C4E-44E2-BBD2-33C2DA382203}">
  <dimension ref="A1:J34"/>
  <sheetViews>
    <sheetView workbookViewId="0">
      <selection activeCell="B22" sqref="B22"/>
    </sheetView>
  </sheetViews>
  <sheetFormatPr defaultColWidth="9.140625" defaultRowHeight="12"/>
  <cols>
    <col min="1" max="1" width="9.140625" style="4"/>
    <col min="2" max="2" width="16.85546875" style="4" customWidth="1"/>
    <col min="3" max="3" width="10.7109375" style="4" customWidth="1"/>
    <col min="4" max="4" width="11.5703125" style="4" customWidth="1"/>
    <col min="5" max="5" width="9.140625" style="4"/>
    <col min="6" max="6" width="52.7109375" style="4" customWidth="1"/>
    <col min="7" max="7" width="12.140625" style="4" bestFit="1" customWidth="1"/>
    <col min="8" max="8" width="9.140625" style="6"/>
    <col min="9" max="9" width="14.42578125" style="4" customWidth="1"/>
    <col min="10" max="10" width="11.85546875" style="4" customWidth="1"/>
    <col min="11" max="16384" width="9.140625" style="4"/>
  </cols>
  <sheetData>
    <row r="1" spans="1:10">
      <c r="B1" s="5" t="s">
        <v>367</v>
      </c>
    </row>
    <row r="2" spans="1:10">
      <c r="B2" s="4" t="s">
        <v>368</v>
      </c>
      <c r="I2" s="4" t="s">
        <v>310</v>
      </c>
    </row>
    <row r="4" spans="1:10" ht="28.5" customHeight="1">
      <c r="A4" s="7" t="s">
        <v>255</v>
      </c>
      <c r="B4" s="8" t="s">
        <v>269</v>
      </c>
      <c r="C4" s="9" t="s">
        <v>270</v>
      </c>
      <c r="D4" s="10" t="s">
        <v>271</v>
      </c>
      <c r="E4" s="10" t="s">
        <v>381</v>
      </c>
      <c r="I4" s="11" t="s">
        <v>269</v>
      </c>
      <c r="J4" s="11" t="s">
        <v>312</v>
      </c>
    </row>
    <row r="5" spans="1:10">
      <c r="A5" s="12">
        <v>1</v>
      </c>
      <c r="B5" s="13" t="s">
        <v>256</v>
      </c>
      <c r="C5" s="13">
        <v>5</v>
      </c>
      <c r="D5" s="14">
        <v>40460</v>
      </c>
      <c r="E5" s="4">
        <f>C5 * VLOOKUP(B5, $I$5:$J$21, 2, FALSE)</f>
        <v>60</v>
      </c>
      <c r="I5" s="11" t="s">
        <v>261</v>
      </c>
      <c r="J5" s="11">
        <v>40</v>
      </c>
    </row>
    <row r="6" spans="1:10">
      <c r="A6" s="12">
        <v>2</v>
      </c>
      <c r="B6" s="13" t="s">
        <v>257</v>
      </c>
      <c r="C6" s="13">
        <v>10</v>
      </c>
      <c r="D6" s="14">
        <v>40459</v>
      </c>
      <c r="E6" s="4">
        <f t="shared" ref="E6:E29" si="0">C6 * VLOOKUP(B6, $I$5:$J$21, 2, FALSE)</f>
        <v>1200</v>
      </c>
      <c r="F6" s="2" t="s">
        <v>275</v>
      </c>
      <c r="G6" s="15">
        <f>SUM(C5:C29)</f>
        <v>921</v>
      </c>
      <c r="I6" s="11" t="s">
        <v>257</v>
      </c>
      <c r="J6" s="11">
        <v>120</v>
      </c>
    </row>
    <row r="7" spans="1:10">
      <c r="A7" s="12">
        <v>3</v>
      </c>
      <c r="B7" s="13" t="s">
        <v>272</v>
      </c>
      <c r="C7" s="13">
        <v>13</v>
      </c>
      <c r="D7" s="14">
        <v>40463</v>
      </c>
      <c r="E7" s="4">
        <f t="shared" si="0"/>
        <v>780</v>
      </c>
      <c r="F7" s="4" t="s">
        <v>311</v>
      </c>
      <c r="G7" s="15">
        <f>SUM(E5:E29)</f>
        <v>27973</v>
      </c>
      <c r="I7" s="11" t="s">
        <v>263</v>
      </c>
      <c r="J7" s="11">
        <v>29</v>
      </c>
    </row>
    <row r="8" spans="1:10">
      <c r="A8" s="12">
        <v>4</v>
      </c>
      <c r="B8" s="13" t="s">
        <v>258</v>
      </c>
      <c r="C8" s="13">
        <v>14</v>
      </c>
      <c r="D8" s="14">
        <v>40461</v>
      </c>
      <c r="E8" s="4">
        <f t="shared" si="0"/>
        <v>630</v>
      </c>
      <c r="F8" s="2" t="s">
        <v>276</v>
      </c>
      <c r="G8" s="15">
        <f>SUMIF(B5:B29, "ківі", C5:C29)</f>
        <v>156</v>
      </c>
      <c r="I8" s="11" t="s">
        <v>265</v>
      </c>
      <c r="J8" s="11">
        <v>22</v>
      </c>
    </row>
    <row r="9" spans="1:10">
      <c r="A9" s="12">
        <v>5</v>
      </c>
      <c r="B9" s="13" t="s">
        <v>259</v>
      </c>
      <c r="C9" s="13">
        <v>14</v>
      </c>
      <c r="D9" s="14">
        <v>40464</v>
      </c>
      <c r="E9" s="4">
        <f t="shared" si="0"/>
        <v>560</v>
      </c>
      <c r="F9" s="4" t="s">
        <v>313</v>
      </c>
      <c r="G9" s="15">
        <f>SUMIF(B5:B29, "ківі", E5:E29)</f>
        <v>9360</v>
      </c>
      <c r="I9" s="11" t="s">
        <v>258</v>
      </c>
      <c r="J9" s="11">
        <v>45</v>
      </c>
    </row>
    <row r="10" spans="1:10">
      <c r="A10" s="12">
        <v>6</v>
      </c>
      <c r="B10" s="13" t="s">
        <v>260</v>
      </c>
      <c r="C10" s="13">
        <v>15</v>
      </c>
      <c r="D10" s="14">
        <v>40461</v>
      </c>
      <c r="E10" s="4">
        <f t="shared" si="0"/>
        <v>1200</v>
      </c>
      <c r="F10" s="2" t="s">
        <v>314</v>
      </c>
      <c r="G10" s="15">
        <f>SUMIF(D5:D29, "&gt;10.10.2010", C5:C29)</f>
        <v>578</v>
      </c>
      <c r="H10" s="6">
        <v>578</v>
      </c>
      <c r="I10" s="11" t="s">
        <v>262</v>
      </c>
      <c r="J10" s="11">
        <v>38</v>
      </c>
    </row>
    <row r="11" spans="1:10">
      <c r="A11" s="12">
        <v>7</v>
      </c>
      <c r="B11" s="13" t="s">
        <v>272</v>
      </c>
      <c r="C11" s="13">
        <v>15</v>
      </c>
      <c r="D11" s="14">
        <v>40463</v>
      </c>
      <c r="E11" s="4">
        <f t="shared" si="0"/>
        <v>900</v>
      </c>
      <c r="F11" s="4" t="s">
        <v>319</v>
      </c>
      <c r="G11" s="15">
        <f>SUMIF(D5:D29, "&gt;15.10.2010", E5:E29)</f>
        <v>5710</v>
      </c>
      <c r="I11" s="11" t="s">
        <v>256</v>
      </c>
      <c r="J11" s="11">
        <v>12</v>
      </c>
    </row>
    <row r="12" spans="1:10">
      <c r="A12" s="12">
        <v>8</v>
      </c>
      <c r="B12" s="13" t="s">
        <v>373</v>
      </c>
      <c r="C12" s="13">
        <v>20</v>
      </c>
      <c r="D12" s="14">
        <v>40464</v>
      </c>
      <c r="E12" s="4">
        <f>C12 * VLOOKUP(LEFT(B12, 3) &amp; "*", $I$5:$J$21, 2, FALSE)</f>
        <v>200</v>
      </c>
      <c r="F12" s="2" t="s">
        <v>315</v>
      </c>
      <c r="G12" s="15">
        <f>SUMIFS(C5:C29, B5:B29, "ківі", D5:D29, "&gt;10.10.2010")</f>
        <v>73</v>
      </c>
      <c r="I12" s="11" t="s">
        <v>268</v>
      </c>
      <c r="J12" s="11">
        <v>8</v>
      </c>
    </row>
    <row r="13" spans="1:10">
      <c r="A13" s="12">
        <v>9</v>
      </c>
      <c r="B13" s="13" t="s">
        <v>272</v>
      </c>
      <c r="C13" s="13">
        <v>23</v>
      </c>
      <c r="D13" s="14">
        <v>40454</v>
      </c>
      <c r="E13" s="4">
        <f>C13 * VLOOKUP(B13, $I$5:$J$21, 2, FALSE)</f>
        <v>1380</v>
      </c>
      <c r="F13" s="4" t="s">
        <v>318</v>
      </c>
      <c r="G13" s="15">
        <f>SUMIFS(E5:E29, B5:B29, "ківі", D5:D29, "&gt;20.10.2010")</f>
        <v>2700</v>
      </c>
      <c r="I13" s="11" t="s">
        <v>272</v>
      </c>
      <c r="J13" s="11">
        <v>60</v>
      </c>
    </row>
    <row r="14" spans="1:10">
      <c r="A14" s="12">
        <v>10</v>
      </c>
      <c r="B14" s="13" t="s">
        <v>274</v>
      </c>
      <c r="C14" s="13">
        <v>25</v>
      </c>
      <c r="D14" s="14">
        <v>40464</v>
      </c>
      <c r="E14" s="4">
        <f t="shared" si="0"/>
        <v>300</v>
      </c>
      <c r="F14" s="2" t="s">
        <v>316</v>
      </c>
      <c r="G14" s="15">
        <f>SUMIFS(C5:C29, D5:D29, "&lt;12.10.2010", C5:C29, "&lt;=50")</f>
        <v>223</v>
      </c>
      <c r="H14" s="6">
        <v>223</v>
      </c>
      <c r="I14" s="11" t="s">
        <v>374</v>
      </c>
      <c r="J14" s="11">
        <v>10</v>
      </c>
    </row>
    <row r="15" spans="1:10">
      <c r="A15" s="12">
        <v>11</v>
      </c>
      <c r="B15" s="13" t="s">
        <v>261</v>
      </c>
      <c r="C15" s="13">
        <v>26</v>
      </c>
      <c r="D15" s="14">
        <v>40463</v>
      </c>
      <c r="E15" s="4">
        <f t="shared" si="0"/>
        <v>1040</v>
      </c>
      <c r="F15" s="4" t="s">
        <v>320</v>
      </c>
      <c r="G15" s="15">
        <f>SUMIFS(E5:E29, D5:D29, "&gt;=10.10.2010", D5:D29, "&lt;=15.10.2010")</f>
        <v>10316</v>
      </c>
      <c r="I15" s="11" t="s">
        <v>260</v>
      </c>
      <c r="J15" s="11">
        <v>80</v>
      </c>
    </row>
    <row r="16" spans="1:10">
      <c r="A16" s="12">
        <v>12</v>
      </c>
      <c r="B16" s="13" t="s">
        <v>373</v>
      </c>
      <c r="C16" s="13">
        <v>35</v>
      </c>
      <c r="D16" s="14">
        <v>40454</v>
      </c>
      <c r="E16" s="4">
        <f>C16 * VLOOKUP(LEFT(B16, 3) &amp; "*", $I$5:$J$21, 2, FALSE)</f>
        <v>350</v>
      </c>
      <c r="F16" s="2" t="s">
        <v>277</v>
      </c>
      <c r="G16" s="15">
        <f>SUMIFS(C5:C29, D5:D29, "&gt;=10.10.2010", D5:D29, "&lt;=15.10.2010")</f>
        <v>412</v>
      </c>
      <c r="H16" s="6">
        <v>462</v>
      </c>
      <c r="I16" s="11" t="s">
        <v>273</v>
      </c>
      <c r="J16" s="11">
        <v>45</v>
      </c>
    </row>
    <row r="17" spans="1:10">
      <c r="A17" s="12">
        <v>13</v>
      </c>
      <c r="B17" s="13" t="s">
        <v>256</v>
      </c>
      <c r="C17" s="13">
        <v>36</v>
      </c>
      <c r="D17" s="14">
        <v>40454</v>
      </c>
      <c r="E17" s="4">
        <f t="shared" si="0"/>
        <v>432</v>
      </c>
      <c r="F17" s="2" t="s">
        <v>281</v>
      </c>
      <c r="G17" s="15">
        <f>COUNT(C5:C29)</f>
        <v>25</v>
      </c>
      <c r="I17" s="45" t="s">
        <v>274</v>
      </c>
      <c r="J17" s="11">
        <v>12</v>
      </c>
    </row>
    <row r="18" spans="1:10">
      <c r="A18" s="12">
        <v>14</v>
      </c>
      <c r="B18" s="13" t="s">
        <v>262</v>
      </c>
      <c r="C18" s="13">
        <v>40</v>
      </c>
      <c r="D18" s="14">
        <v>40453</v>
      </c>
      <c r="E18" s="4">
        <f t="shared" si="0"/>
        <v>1520</v>
      </c>
      <c r="F18" s="2" t="s">
        <v>278</v>
      </c>
      <c r="G18" s="15">
        <f>MAX(C5:C29)</f>
        <v>100</v>
      </c>
      <c r="I18" s="11" t="s">
        <v>259</v>
      </c>
      <c r="J18" s="11">
        <v>40</v>
      </c>
    </row>
    <row r="19" spans="1:10">
      <c r="A19" s="12">
        <v>15</v>
      </c>
      <c r="B19" s="13" t="s">
        <v>263</v>
      </c>
      <c r="C19" s="13">
        <v>40</v>
      </c>
      <c r="D19" s="14">
        <v>40475</v>
      </c>
      <c r="E19" s="4">
        <f t="shared" si="0"/>
        <v>1160</v>
      </c>
      <c r="F19" s="2" t="s">
        <v>280</v>
      </c>
      <c r="G19" s="15">
        <f>AVERAGE(C5:C29)</f>
        <v>36.840000000000003</v>
      </c>
      <c r="I19" s="11" t="s">
        <v>266</v>
      </c>
      <c r="J19" s="11">
        <v>25</v>
      </c>
    </row>
    <row r="20" spans="1:10">
      <c r="A20" s="12">
        <v>16</v>
      </c>
      <c r="B20" s="13" t="s">
        <v>264</v>
      </c>
      <c r="C20" s="13">
        <v>42</v>
      </c>
      <c r="D20" s="14">
        <v>40463</v>
      </c>
      <c r="E20" s="4">
        <f t="shared" si="0"/>
        <v>1890</v>
      </c>
      <c r="F20" s="2" t="s">
        <v>279</v>
      </c>
      <c r="G20" s="15">
        <f>MIN(C5:C29)</f>
        <v>5</v>
      </c>
      <c r="I20" s="11" t="s">
        <v>264</v>
      </c>
      <c r="J20" s="11">
        <v>45</v>
      </c>
    </row>
    <row r="21" spans="1:10">
      <c r="A21" s="12">
        <v>17</v>
      </c>
      <c r="B21" s="13" t="s">
        <v>273</v>
      </c>
      <c r="C21" s="13">
        <v>45</v>
      </c>
      <c r="D21" s="14">
        <v>40454</v>
      </c>
      <c r="E21" s="4">
        <f t="shared" si="0"/>
        <v>2025</v>
      </c>
      <c r="F21" s="2" t="s">
        <v>286</v>
      </c>
      <c r="G21" s="55">
        <f>AVERAGEIF(B5:B29, "циб*", C5:C29)</f>
        <v>38.333333333333336</v>
      </c>
      <c r="I21" s="11" t="s">
        <v>267</v>
      </c>
      <c r="J21" s="11">
        <v>23</v>
      </c>
    </row>
    <row r="22" spans="1:10">
      <c r="A22" s="12">
        <v>18</v>
      </c>
      <c r="B22" s="13" t="s">
        <v>272</v>
      </c>
      <c r="C22" s="13">
        <v>45</v>
      </c>
      <c r="D22" s="14">
        <v>40476</v>
      </c>
      <c r="E22" s="4">
        <f t="shared" si="0"/>
        <v>2700</v>
      </c>
      <c r="F22" s="2" t="s">
        <v>282</v>
      </c>
      <c r="G22" s="15">
        <f>COUNTIF(B5:B29, "ківі")</f>
        <v>5</v>
      </c>
    </row>
    <row r="23" spans="1:10">
      <c r="A23" s="12">
        <v>19</v>
      </c>
      <c r="B23" s="13" t="s">
        <v>265</v>
      </c>
      <c r="C23" s="13">
        <v>48</v>
      </c>
      <c r="D23" s="14">
        <v>40463</v>
      </c>
      <c r="E23" s="4">
        <f t="shared" si="0"/>
        <v>1056</v>
      </c>
      <c r="F23" s="2" t="s">
        <v>285</v>
      </c>
      <c r="G23" s="15">
        <f>COUNTIFS(D5:D29, "&lt;12.10.2010", C5:C29, "&lt;=50")</f>
        <v>9</v>
      </c>
    </row>
    <row r="24" spans="1:10">
      <c r="A24" s="12">
        <v>20</v>
      </c>
      <c r="B24" s="13" t="s">
        <v>266</v>
      </c>
      <c r="C24" s="13">
        <v>50</v>
      </c>
      <c r="D24" s="14">
        <v>40473</v>
      </c>
      <c r="E24" s="4">
        <f t="shared" si="0"/>
        <v>1250</v>
      </c>
      <c r="F24" s="2" t="s">
        <v>283</v>
      </c>
      <c r="G24" s="15">
        <f>COUNTIF(C5:C29, "&lt;=50")</f>
        <v>20</v>
      </c>
    </row>
    <row r="25" spans="1:10">
      <c r="A25" s="12">
        <v>21</v>
      </c>
      <c r="B25" s="13" t="s">
        <v>267</v>
      </c>
      <c r="C25" s="13">
        <v>60</v>
      </c>
      <c r="D25" s="14">
        <v>40452</v>
      </c>
      <c r="E25" s="4">
        <f t="shared" si="0"/>
        <v>1380</v>
      </c>
      <c r="F25" s="4" t="s">
        <v>317</v>
      </c>
      <c r="G25" s="15">
        <f>SUMIF(C5:C29, "&lt;=50", E5:E29)</f>
        <v>20633</v>
      </c>
    </row>
    <row r="26" spans="1:10">
      <c r="A26" s="12">
        <v>22</v>
      </c>
      <c r="B26" s="13" t="s">
        <v>272</v>
      </c>
      <c r="C26" s="13">
        <v>60</v>
      </c>
      <c r="D26" s="14">
        <v>40458</v>
      </c>
      <c r="E26" s="4">
        <f t="shared" si="0"/>
        <v>3600</v>
      </c>
      <c r="F26" s="2" t="s">
        <v>284</v>
      </c>
      <c r="G26" s="15">
        <f>COUNTIFS(B5:B29, "ківі", D5:D29, "&gt;10.10.2010")</f>
        <v>3</v>
      </c>
    </row>
    <row r="27" spans="1:10">
      <c r="A27" s="12">
        <v>23</v>
      </c>
      <c r="B27" s="13" t="s">
        <v>373</v>
      </c>
      <c r="C27" s="13">
        <v>60</v>
      </c>
      <c r="D27" s="14">
        <v>40474</v>
      </c>
      <c r="E27" s="4">
        <f>C27 * VLOOKUP(LEFT(B27, 3) &amp; "*", $I$5:$J$21, 2, FALSE)</f>
        <v>600</v>
      </c>
    </row>
    <row r="28" spans="1:10">
      <c r="A28" s="12">
        <v>24</v>
      </c>
      <c r="B28" s="13" t="s">
        <v>256</v>
      </c>
      <c r="C28" s="13">
        <v>80</v>
      </c>
      <c r="D28" s="14">
        <v>40464</v>
      </c>
      <c r="E28" s="4">
        <f t="shared" si="0"/>
        <v>960</v>
      </c>
      <c r="H28" s="6">
        <v>19</v>
      </c>
    </row>
    <row r="29" spans="1:10">
      <c r="A29" s="16">
        <v>25</v>
      </c>
      <c r="B29" s="17" t="s">
        <v>268</v>
      </c>
      <c r="C29" s="17">
        <v>100</v>
      </c>
      <c r="D29" s="18">
        <v>40464</v>
      </c>
      <c r="E29" s="4">
        <f t="shared" si="0"/>
        <v>800</v>
      </c>
    </row>
    <row r="32" spans="1:10">
      <c r="H32" s="6">
        <v>9</v>
      </c>
    </row>
    <row r="34" spans="8:8">
      <c r="H34" s="6">
        <v>38.299999999999997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FF54-19B3-4DBC-A3EC-21D1DBE0960E}">
  <dimension ref="A1:N328"/>
  <sheetViews>
    <sheetView workbookViewId="0">
      <selection activeCell="I10" sqref="I10:K328"/>
    </sheetView>
  </sheetViews>
  <sheetFormatPr defaultColWidth="11.5703125" defaultRowHeight="12"/>
  <cols>
    <col min="1" max="1" width="13.42578125" style="19" customWidth="1"/>
    <col min="2" max="16384" width="11.5703125" style="19"/>
  </cols>
  <sheetData>
    <row r="1" spans="1:14">
      <c r="B1" s="20" t="s">
        <v>302</v>
      </c>
    </row>
    <row r="2" spans="1:14">
      <c r="B2" s="19" t="s">
        <v>364</v>
      </c>
      <c r="K2" s="52" t="s">
        <v>382</v>
      </c>
    </row>
    <row r="3" spans="1:14">
      <c r="B3" s="19" t="s">
        <v>350</v>
      </c>
    </row>
    <row r="4" spans="1:14">
      <c r="B4" s="21" t="s">
        <v>357</v>
      </c>
    </row>
    <row r="5" spans="1:14">
      <c r="B5" s="19" t="s">
        <v>358</v>
      </c>
    </row>
    <row r="6" spans="1:14">
      <c r="B6" s="19" t="s">
        <v>359</v>
      </c>
    </row>
    <row r="7" spans="1:14">
      <c r="B7" s="19" t="s">
        <v>360</v>
      </c>
    </row>
    <row r="8" spans="1:14" ht="15">
      <c r="N8"/>
    </row>
    <row r="9" spans="1:14" ht="15">
      <c r="N9"/>
    </row>
    <row r="10" spans="1:14" ht="24">
      <c r="A10" s="22" t="s">
        <v>269</v>
      </c>
      <c r="B10" s="22" t="s">
        <v>356</v>
      </c>
      <c r="C10" s="22" t="s">
        <v>321</v>
      </c>
      <c r="D10" s="22" t="s">
        <v>322</v>
      </c>
      <c r="E10" s="22" t="s">
        <v>345</v>
      </c>
      <c r="F10" s="22" t="s">
        <v>346</v>
      </c>
      <c r="G10" s="22" t="s">
        <v>323</v>
      </c>
      <c r="H10" s="22" t="s">
        <v>347</v>
      </c>
      <c r="I10" s="64" t="s">
        <v>351</v>
      </c>
      <c r="J10" s="64" t="s">
        <v>348</v>
      </c>
      <c r="K10" s="64" t="s">
        <v>349</v>
      </c>
      <c r="N10"/>
    </row>
    <row r="11" spans="1:14">
      <c r="A11" s="23" t="s">
        <v>324</v>
      </c>
      <c r="B11" s="23" t="s">
        <v>325</v>
      </c>
      <c r="C11" s="23" t="s">
        <v>352</v>
      </c>
      <c r="D11" s="24">
        <v>40909</v>
      </c>
      <c r="E11" s="23">
        <v>2800</v>
      </c>
      <c r="F11" s="23">
        <v>34</v>
      </c>
      <c r="G11" s="23">
        <v>3</v>
      </c>
      <c r="H11" s="23">
        <v>750</v>
      </c>
      <c r="I11" s="65">
        <f>IF(AND(C11="Легкість буття", E11&gt;4000, A11="Мясорубка", OR(B11="Kenwoodik", B11="Tefalka")), E11*0.05,
 IF(AND(C11="Смак Компані", B11="Kenwoodik", A11="Мясорубка"), E11*0.1,
 IF(AND(B11="Panasonika", E11&gt;4710), E11*0.04, 0)))</f>
        <v>0</v>
      </c>
      <c r="J11" s="65">
        <f>E11 * G11</f>
        <v>8400</v>
      </c>
      <c r="K11" s="66">
        <f>(E11 - I11) * (F11 - G11) + H11</f>
        <v>87550</v>
      </c>
      <c r="L11" s="56" t="s">
        <v>338</v>
      </c>
      <c r="M11" s="56" t="s">
        <v>335</v>
      </c>
      <c r="N11" s="56" t="s">
        <v>354</v>
      </c>
    </row>
    <row r="12" spans="1:14">
      <c r="A12" s="23" t="s">
        <v>326</v>
      </c>
      <c r="B12" s="23" t="s">
        <v>327</v>
      </c>
      <c r="C12" s="23" t="s">
        <v>353</v>
      </c>
      <c r="D12" s="24">
        <v>40911</v>
      </c>
      <c r="E12" s="23">
        <v>3880</v>
      </c>
      <c r="F12" s="23">
        <v>24</v>
      </c>
      <c r="G12" s="23">
        <v>1</v>
      </c>
      <c r="H12" s="23">
        <v>750</v>
      </c>
      <c r="I12" s="65">
        <f t="shared" ref="I12:I75" si="0">IF(AND(C12="Легкість буття", E12&gt;4000, A12="Мясорубка", OR(B12="Kenwoodik", B12="Tefalka")), E12*0.05,
 IF(AND(C12="Смак Компані", B12="Kenwoodik", A12="Мясорубка"), E12*0.1,
 IF(AND(B12="Panasonika", E12&gt;4710), E12*0.04, 0)))</f>
        <v>0</v>
      </c>
      <c r="J12" s="65">
        <f t="shared" ref="J12:J75" si="1">E12 * G12</f>
        <v>3880</v>
      </c>
      <c r="K12" s="66">
        <f t="shared" ref="K12:K75" si="2">(E12 - I12) * (F12 - G12) + H12</f>
        <v>89990</v>
      </c>
      <c r="L12" s="56" t="s">
        <v>340</v>
      </c>
      <c r="M12" s="56" t="s">
        <v>336</v>
      </c>
      <c r="N12" s="56" t="s">
        <v>353</v>
      </c>
    </row>
    <row r="13" spans="1:14">
      <c r="A13" s="23" t="s">
        <v>324</v>
      </c>
      <c r="B13" s="23" t="s">
        <v>325</v>
      </c>
      <c r="C13" s="23" t="s">
        <v>353</v>
      </c>
      <c r="D13" s="24">
        <v>40914</v>
      </c>
      <c r="E13" s="23">
        <v>2800</v>
      </c>
      <c r="F13" s="23">
        <v>38</v>
      </c>
      <c r="G13" s="23">
        <v>3</v>
      </c>
      <c r="H13" s="23">
        <v>750</v>
      </c>
      <c r="I13" s="65">
        <f t="shared" si="0"/>
        <v>0</v>
      </c>
      <c r="J13" s="65">
        <f t="shared" si="1"/>
        <v>8400</v>
      </c>
      <c r="K13" s="66">
        <f t="shared" si="2"/>
        <v>98750</v>
      </c>
      <c r="L13" s="56" t="s">
        <v>341</v>
      </c>
      <c r="M13" s="56" t="s">
        <v>339</v>
      </c>
      <c r="N13" s="56" t="s">
        <v>333</v>
      </c>
    </row>
    <row r="14" spans="1:14">
      <c r="A14" s="23" t="s">
        <v>363</v>
      </c>
      <c r="B14" s="23" t="s">
        <v>328</v>
      </c>
      <c r="C14" s="23" t="s">
        <v>354</v>
      </c>
      <c r="D14" s="24">
        <v>40915</v>
      </c>
      <c r="E14" s="23">
        <v>900</v>
      </c>
      <c r="F14" s="23">
        <v>13</v>
      </c>
      <c r="G14" s="23">
        <v>3</v>
      </c>
      <c r="H14" s="23">
        <v>1000</v>
      </c>
      <c r="I14" s="65">
        <f t="shared" si="0"/>
        <v>0</v>
      </c>
      <c r="J14" s="65">
        <f t="shared" si="1"/>
        <v>2700</v>
      </c>
      <c r="K14" s="66">
        <f t="shared" si="2"/>
        <v>10000</v>
      </c>
      <c r="L14" s="56" t="s">
        <v>363</v>
      </c>
      <c r="M14" s="56" t="s">
        <v>328</v>
      </c>
      <c r="N14" s="56" t="s">
        <v>352</v>
      </c>
    </row>
    <row r="15" spans="1:14">
      <c r="A15" s="23" t="s">
        <v>363</v>
      </c>
      <c r="B15" s="23" t="s">
        <v>329</v>
      </c>
      <c r="C15" s="23" t="s">
        <v>353</v>
      </c>
      <c r="D15" s="24">
        <v>40916</v>
      </c>
      <c r="E15" s="23">
        <v>2500</v>
      </c>
      <c r="F15" s="23">
        <v>26</v>
      </c>
      <c r="G15" s="23">
        <v>0</v>
      </c>
      <c r="H15" s="23">
        <v>750</v>
      </c>
      <c r="I15" s="65">
        <f t="shared" si="0"/>
        <v>0</v>
      </c>
      <c r="J15" s="65">
        <f t="shared" si="1"/>
        <v>0</v>
      </c>
      <c r="K15" s="66">
        <f t="shared" si="2"/>
        <v>65750</v>
      </c>
      <c r="L15" s="56" t="s">
        <v>326</v>
      </c>
      <c r="M15" s="56" t="s">
        <v>327</v>
      </c>
      <c r="N15" s="56" t="s">
        <v>355</v>
      </c>
    </row>
    <row r="16" spans="1:14">
      <c r="A16" s="23" t="s">
        <v>330</v>
      </c>
      <c r="B16" s="23" t="s">
        <v>328</v>
      </c>
      <c r="C16" s="23" t="s">
        <v>352</v>
      </c>
      <c r="D16" s="24">
        <v>40916</v>
      </c>
      <c r="E16" s="23">
        <v>3900</v>
      </c>
      <c r="F16" s="23">
        <v>46</v>
      </c>
      <c r="G16" s="23">
        <v>4</v>
      </c>
      <c r="H16" s="23">
        <v>0</v>
      </c>
      <c r="I16" s="65">
        <f t="shared" si="0"/>
        <v>0</v>
      </c>
      <c r="J16" s="65">
        <f t="shared" si="1"/>
        <v>15600</v>
      </c>
      <c r="K16" s="66">
        <f t="shared" si="2"/>
        <v>163800</v>
      </c>
      <c r="L16" s="56" t="s">
        <v>330</v>
      </c>
      <c r="M16" s="56" t="s">
        <v>329</v>
      </c>
      <c r="N16" s="56" t="s">
        <v>337</v>
      </c>
    </row>
    <row r="17" spans="1:14">
      <c r="A17" s="23" t="s">
        <v>331</v>
      </c>
      <c r="B17" s="23" t="s">
        <v>332</v>
      </c>
      <c r="C17" s="23" t="s">
        <v>333</v>
      </c>
      <c r="D17" s="24">
        <v>40918</v>
      </c>
      <c r="E17" s="23">
        <v>1100</v>
      </c>
      <c r="F17" s="23">
        <v>20</v>
      </c>
      <c r="G17" s="23">
        <v>3</v>
      </c>
      <c r="H17" s="23">
        <v>750</v>
      </c>
      <c r="I17" s="65">
        <f t="shared" si="0"/>
        <v>0</v>
      </c>
      <c r="J17" s="65">
        <f t="shared" si="1"/>
        <v>3300</v>
      </c>
      <c r="K17" s="66">
        <f t="shared" si="2"/>
        <v>19450</v>
      </c>
      <c r="L17" s="56" t="s">
        <v>324</v>
      </c>
      <c r="M17" s="56" t="s">
        <v>325</v>
      </c>
    </row>
    <row r="18" spans="1:14">
      <c r="A18" s="23" t="s">
        <v>362</v>
      </c>
      <c r="B18" s="23" t="s">
        <v>334</v>
      </c>
      <c r="C18" s="23" t="s">
        <v>352</v>
      </c>
      <c r="D18" s="24">
        <v>40921</v>
      </c>
      <c r="E18" s="23">
        <v>2360</v>
      </c>
      <c r="F18" s="23">
        <v>20</v>
      </c>
      <c r="G18" s="23">
        <v>3</v>
      </c>
      <c r="H18" s="23">
        <v>750</v>
      </c>
      <c r="I18" s="65">
        <f t="shared" si="0"/>
        <v>0</v>
      </c>
      <c r="J18" s="65">
        <f t="shared" si="1"/>
        <v>7080</v>
      </c>
      <c r="K18" s="66">
        <f t="shared" si="2"/>
        <v>40870</v>
      </c>
      <c r="L18" s="56" t="s">
        <v>362</v>
      </c>
      <c r="M18" s="56" t="s">
        <v>334</v>
      </c>
    </row>
    <row r="19" spans="1:14">
      <c r="A19" s="23" t="s">
        <v>362</v>
      </c>
      <c r="B19" s="23" t="s">
        <v>335</v>
      </c>
      <c r="C19" s="23" t="s">
        <v>354</v>
      </c>
      <c r="D19" s="24">
        <v>40921</v>
      </c>
      <c r="E19" s="23">
        <v>4850</v>
      </c>
      <c r="F19" s="23">
        <v>24</v>
      </c>
      <c r="G19" s="23">
        <v>1</v>
      </c>
      <c r="H19" s="23">
        <v>750</v>
      </c>
      <c r="I19" s="65">
        <f t="shared" si="0"/>
        <v>0</v>
      </c>
      <c r="J19" s="65">
        <f t="shared" si="1"/>
        <v>4850</v>
      </c>
      <c r="K19" s="66">
        <f t="shared" si="2"/>
        <v>112300</v>
      </c>
      <c r="L19" s="56" t="s">
        <v>361</v>
      </c>
      <c r="M19" s="56" t="s">
        <v>344</v>
      </c>
    </row>
    <row r="20" spans="1:14">
      <c r="A20" s="23" t="s">
        <v>326</v>
      </c>
      <c r="B20" s="23" t="s">
        <v>336</v>
      </c>
      <c r="C20" s="23" t="s">
        <v>352</v>
      </c>
      <c r="D20" s="24">
        <v>40922</v>
      </c>
      <c r="E20" s="23">
        <v>4100</v>
      </c>
      <c r="F20" s="23">
        <v>30</v>
      </c>
      <c r="G20" s="23">
        <v>2</v>
      </c>
      <c r="H20" s="23">
        <v>750</v>
      </c>
      <c r="I20" s="65">
        <f t="shared" si="0"/>
        <v>0</v>
      </c>
      <c r="J20" s="65">
        <f t="shared" si="1"/>
        <v>8200</v>
      </c>
      <c r="K20" s="66">
        <f t="shared" si="2"/>
        <v>115550</v>
      </c>
      <c r="L20" s="56" t="s">
        <v>331</v>
      </c>
      <c r="M20" s="56" t="s">
        <v>332</v>
      </c>
    </row>
    <row r="21" spans="1:14">
      <c r="A21" s="23" t="s">
        <v>362</v>
      </c>
      <c r="B21" s="23" t="s">
        <v>332</v>
      </c>
      <c r="C21" s="23" t="s">
        <v>337</v>
      </c>
      <c r="D21" s="24">
        <v>40923</v>
      </c>
      <c r="E21" s="23">
        <v>2500</v>
      </c>
      <c r="F21" s="23">
        <v>49</v>
      </c>
      <c r="G21" s="23">
        <v>2</v>
      </c>
      <c r="H21" s="23">
        <v>0</v>
      </c>
      <c r="I21" s="65">
        <f t="shared" si="0"/>
        <v>0</v>
      </c>
      <c r="J21" s="65">
        <f t="shared" si="1"/>
        <v>5000</v>
      </c>
      <c r="K21" s="66">
        <f t="shared" si="2"/>
        <v>117500</v>
      </c>
      <c r="L21" s="56" t="s">
        <v>343</v>
      </c>
      <c r="M21" s="56" t="s">
        <v>342</v>
      </c>
      <c r="N21" s="57"/>
    </row>
    <row r="22" spans="1:14" ht="15">
      <c r="A22" s="23" t="s">
        <v>326</v>
      </c>
      <c r="B22" s="23" t="s">
        <v>336</v>
      </c>
      <c r="C22" s="23" t="s">
        <v>353</v>
      </c>
      <c r="D22" s="24">
        <v>40924</v>
      </c>
      <c r="E22" s="23">
        <v>4100</v>
      </c>
      <c r="F22" s="23">
        <v>24</v>
      </c>
      <c r="G22" s="23">
        <v>0</v>
      </c>
      <c r="H22" s="23">
        <v>750</v>
      </c>
      <c r="I22" s="65">
        <f t="shared" si="0"/>
        <v>0</v>
      </c>
      <c r="J22" s="65">
        <f t="shared" si="1"/>
        <v>0</v>
      </c>
      <c r="K22" s="65">
        <f t="shared" si="2"/>
        <v>99150</v>
      </c>
      <c r="L22"/>
      <c r="M22"/>
      <c r="N22"/>
    </row>
    <row r="23" spans="1:14" ht="15">
      <c r="A23" s="23" t="s">
        <v>324</v>
      </c>
      <c r="B23" s="23" t="s">
        <v>325</v>
      </c>
      <c r="C23" s="23" t="s">
        <v>354</v>
      </c>
      <c r="D23" s="24">
        <v>40925</v>
      </c>
      <c r="E23" s="23">
        <v>2750</v>
      </c>
      <c r="F23" s="23">
        <v>23</v>
      </c>
      <c r="G23" s="23">
        <v>0</v>
      </c>
      <c r="H23" s="23">
        <v>750</v>
      </c>
      <c r="I23" s="65">
        <f t="shared" si="0"/>
        <v>0</v>
      </c>
      <c r="J23" s="65">
        <f t="shared" si="1"/>
        <v>0</v>
      </c>
      <c r="K23" s="65">
        <f t="shared" si="2"/>
        <v>64000</v>
      </c>
      <c r="L23"/>
      <c r="M23"/>
      <c r="N23"/>
    </row>
    <row r="24" spans="1:14" ht="15">
      <c r="A24" s="23" t="s">
        <v>362</v>
      </c>
      <c r="B24" s="23" t="s">
        <v>334</v>
      </c>
      <c r="C24" s="23" t="s">
        <v>333</v>
      </c>
      <c r="D24" s="24">
        <v>40926</v>
      </c>
      <c r="E24" s="23">
        <v>2400</v>
      </c>
      <c r="F24" s="23">
        <v>23</v>
      </c>
      <c r="G24" s="23">
        <v>4</v>
      </c>
      <c r="H24" s="23">
        <v>750</v>
      </c>
      <c r="I24" s="65">
        <f t="shared" si="0"/>
        <v>0</v>
      </c>
      <c r="J24" s="65">
        <f t="shared" si="1"/>
        <v>9600</v>
      </c>
      <c r="K24" s="65">
        <f t="shared" si="2"/>
        <v>46350</v>
      </c>
      <c r="L24"/>
      <c r="M24"/>
      <c r="N24"/>
    </row>
    <row r="25" spans="1:14" ht="15">
      <c r="A25" s="23" t="s">
        <v>363</v>
      </c>
      <c r="B25" s="23" t="s">
        <v>336</v>
      </c>
      <c r="C25" s="23" t="s">
        <v>355</v>
      </c>
      <c r="D25" s="24">
        <v>40927</v>
      </c>
      <c r="E25" s="23">
        <v>1960</v>
      </c>
      <c r="F25" s="23">
        <v>33</v>
      </c>
      <c r="G25" s="23">
        <v>0</v>
      </c>
      <c r="H25" s="23">
        <v>750</v>
      </c>
      <c r="I25" s="65">
        <f t="shared" si="0"/>
        <v>0</v>
      </c>
      <c r="J25" s="65">
        <f t="shared" si="1"/>
        <v>0</v>
      </c>
      <c r="K25" s="65">
        <f t="shared" si="2"/>
        <v>65430</v>
      </c>
      <c r="L25"/>
      <c r="M25"/>
      <c r="N25"/>
    </row>
    <row r="26" spans="1:14" ht="15">
      <c r="A26" s="23" t="s">
        <v>330</v>
      </c>
      <c r="B26" s="23" t="s">
        <v>336</v>
      </c>
      <c r="C26" s="23" t="s">
        <v>337</v>
      </c>
      <c r="D26" s="24">
        <v>40927</v>
      </c>
      <c r="E26" s="23">
        <v>1800</v>
      </c>
      <c r="F26" s="23">
        <v>46</v>
      </c>
      <c r="G26" s="23">
        <v>1</v>
      </c>
      <c r="H26" s="23">
        <v>0</v>
      </c>
      <c r="I26" s="65">
        <f t="shared" si="0"/>
        <v>0</v>
      </c>
      <c r="J26" s="65">
        <f t="shared" si="1"/>
        <v>1800</v>
      </c>
      <c r="K26" s="65">
        <f t="shared" si="2"/>
        <v>81000</v>
      </c>
      <c r="L26"/>
      <c r="M26"/>
      <c r="N26"/>
    </row>
    <row r="27" spans="1:14" ht="15">
      <c r="A27" s="23" t="s">
        <v>326</v>
      </c>
      <c r="B27" s="23" t="s">
        <v>336</v>
      </c>
      <c r="C27" s="23" t="s">
        <v>355</v>
      </c>
      <c r="D27" s="24">
        <v>40928</v>
      </c>
      <c r="E27" s="23">
        <v>4100</v>
      </c>
      <c r="F27" s="23">
        <v>27</v>
      </c>
      <c r="G27" s="23">
        <v>4</v>
      </c>
      <c r="H27" s="23">
        <v>750</v>
      </c>
      <c r="I27" s="65">
        <f t="shared" si="0"/>
        <v>0</v>
      </c>
      <c r="J27" s="65">
        <f t="shared" si="1"/>
        <v>16400</v>
      </c>
      <c r="K27" s="65">
        <f t="shared" si="2"/>
        <v>95050</v>
      </c>
      <c r="L27"/>
      <c r="M27"/>
      <c r="N27"/>
    </row>
    <row r="28" spans="1:14" ht="15">
      <c r="A28" s="23" t="s">
        <v>338</v>
      </c>
      <c r="B28" s="23" t="s">
        <v>339</v>
      </c>
      <c r="C28" s="23" t="s">
        <v>353</v>
      </c>
      <c r="D28" s="24">
        <v>40930</v>
      </c>
      <c r="E28" s="23">
        <v>1280</v>
      </c>
      <c r="F28" s="23">
        <v>15</v>
      </c>
      <c r="G28" s="23">
        <v>4</v>
      </c>
      <c r="H28" s="23">
        <v>1000</v>
      </c>
      <c r="I28" s="65">
        <f t="shared" si="0"/>
        <v>0</v>
      </c>
      <c r="J28" s="65">
        <f t="shared" si="1"/>
        <v>5120</v>
      </c>
      <c r="K28" s="65">
        <f t="shared" si="2"/>
        <v>15080</v>
      </c>
      <c r="L28"/>
      <c r="M28"/>
      <c r="N28"/>
    </row>
    <row r="29" spans="1:14" ht="15">
      <c r="A29" s="23" t="s">
        <v>338</v>
      </c>
      <c r="B29" s="23" t="s">
        <v>335</v>
      </c>
      <c r="C29" s="23" t="s">
        <v>353</v>
      </c>
      <c r="D29" s="24">
        <v>40931</v>
      </c>
      <c r="E29" s="23">
        <v>3380</v>
      </c>
      <c r="F29" s="23">
        <v>35</v>
      </c>
      <c r="G29" s="23">
        <v>3</v>
      </c>
      <c r="H29" s="23">
        <v>750</v>
      </c>
      <c r="I29" s="65">
        <f t="shared" si="0"/>
        <v>0</v>
      </c>
      <c r="J29" s="65">
        <f t="shared" si="1"/>
        <v>10140</v>
      </c>
      <c r="K29" s="65">
        <f t="shared" si="2"/>
        <v>108910</v>
      </c>
      <c r="L29"/>
      <c r="M29"/>
      <c r="N29"/>
    </row>
    <row r="30" spans="1:14" ht="15">
      <c r="A30" s="23" t="s">
        <v>326</v>
      </c>
      <c r="B30" s="23" t="s">
        <v>335</v>
      </c>
      <c r="C30" s="23" t="s">
        <v>353</v>
      </c>
      <c r="D30" s="24">
        <v>40931</v>
      </c>
      <c r="E30" s="23">
        <v>2870</v>
      </c>
      <c r="F30" s="23">
        <v>11</v>
      </c>
      <c r="G30" s="23">
        <v>2</v>
      </c>
      <c r="H30" s="23">
        <v>1000</v>
      </c>
      <c r="I30" s="65">
        <f t="shared" si="0"/>
        <v>0</v>
      </c>
      <c r="J30" s="65">
        <f t="shared" si="1"/>
        <v>5740</v>
      </c>
      <c r="K30" s="65">
        <f t="shared" si="2"/>
        <v>26830</v>
      </c>
      <c r="L30"/>
      <c r="M30"/>
      <c r="N30"/>
    </row>
    <row r="31" spans="1:14" ht="15">
      <c r="A31" s="23" t="s">
        <v>340</v>
      </c>
      <c r="B31" s="23" t="s">
        <v>335</v>
      </c>
      <c r="C31" s="23" t="s">
        <v>333</v>
      </c>
      <c r="D31" s="24">
        <v>40933</v>
      </c>
      <c r="E31" s="23">
        <v>1080</v>
      </c>
      <c r="F31" s="23">
        <v>50</v>
      </c>
      <c r="G31" s="23">
        <v>3</v>
      </c>
      <c r="H31" s="23">
        <v>0</v>
      </c>
      <c r="I31" s="65">
        <f t="shared" si="0"/>
        <v>0</v>
      </c>
      <c r="J31" s="65">
        <f t="shared" si="1"/>
        <v>3240</v>
      </c>
      <c r="K31" s="65">
        <f t="shared" si="2"/>
        <v>50760</v>
      </c>
      <c r="L31"/>
      <c r="M31"/>
      <c r="N31"/>
    </row>
    <row r="32" spans="1:14" ht="15">
      <c r="A32" s="23" t="s">
        <v>331</v>
      </c>
      <c r="B32" s="23" t="s">
        <v>332</v>
      </c>
      <c r="C32" s="23" t="s">
        <v>353</v>
      </c>
      <c r="D32" s="24">
        <v>40933</v>
      </c>
      <c r="E32" s="23">
        <v>1100</v>
      </c>
      <c r="F32" s="23">
        <v>16</v>
      </c>
      <c r="G32" s="23">
        <v>4</v>
      </c>
      <c r="H32" s="23">
        <v>1000</v>
      </c>
      <c r="I32" s="65">
        <f t="shared" si="0"/>
        <v>0</v>
      </c>
      <c r="J32" s="65">
        <f t="shared" si="1"/>
        <v>4400</v>
      </c>
      <c r="K32" s="65">
        <f t="shared" si="2"/>
        <v>14200</v>
      </c>
      <c r="L32"/>
      <c r="M32"/>
      <c r="N32"/>
    </row>
    <row r="33" spans="1:14" ht="15">
      <c r="A33" s="23" t="s">
        <v>326</v>
      </c>
      <c r="B33" s="23" t="s">
        <v>329</v>
      </c>
      <c r="C33" s="23" t="s">
        <v>355</v>
      </c>
      <c r="D33" s="24">
        <v>40934</v>
      </c>
      <c r="E33" s="23">
        <v>4050</v>
      </c>
      <c r="F33" s="23">
        <v>16</v>
      </c>
      <c r="G33" s="23">
        <v>4</v>
      </c>
      <c r="H33" s="23">
        <v>1000</v>
      </c>
      <c r="I33" s="65">
        <f t="shared" si="0"/>
        <v>0</v>
      </c>
      <c r="J33" s="65">
        <f t="shared" si="1"/>
        <v>16200</v>
      </c>
      <c r="K33" s="65">
        <f t="shared" si="2"/>
        <v>49600</v>
      </c>
      <c r="L33"/>
      <c r="M33"/>
      <c r="N33"/>
    </row>
    <row r="34" spans="1:14" ht="15">
      <c r="A34" s="23" t="s">
        <v>330</v>
      </c>
      <c r="B34" s="23" t="s">
        <v>328</v>
      </c>
      <c r="C34" s="23" t="s">
        <v>333</v>
      </c>
      <c r="D34" s="24">
        <v>40936</v>
      </c>
      <c r="E34" s="23">
        <v>3900</v>
      </c>
      <c r="F34" s="23">
        <v>27</v>
      </c>
      <c r="G34" s="23">
        <v>4</v>
      </c>
      <c r="H34" s="23">
        <v>750</v>
      </c>
      <c r="I34" s="65">
        <f t="shared" si="0"/>
        <v>0</v>
      </c>
      <c r="J34" s="65">
        <f t="shared" si="1"/>
        <v>15600</v>
      </c>
      <c r="K34" s="65">
        <f t="shared" si="2"/>
        <v>90450</v>
      </c>
      <c r="L34"/>
      <c r="M34"/>
      <c r="N34"/>
    </row>
    <row r="35" spans="1:14" ht="15">
      <c r="A35" s="23" t="s">
        <v>331</v>
      </c>
      <c r="B35" s="23" t="s">
        <v>339</v>
      </c>
      <c r="C35" s="23" t="s">
        <v>337</v>
      </c>
      <c r="D35" s="24">
        <v>40937</v>
      </c>
      <c r="E35" s="23">
        <v>1750</v>
      </c>
      <c r="F35" s="23">
        <v>45</v>
      </c>
      <c r="G35" s="23">
        <v>3</v>
      </c>
      <c r="H35" s="23">
        <v>0</v>
      </c>
      <c r="I35" s="65">
        <f t="shared" si="0"/>
        <v>0</v>
      </c>
      <c r="J35" s="65">
        <f t="shared" si="1"/>
        <v>5250</v>
      </c>
      <c r="K35" s="65">
        <f t="shared" si="2"/>
        <v>73500</v>
      </c>
      <c r="L35"/>
      <c r="M35"/>
      <c r="N35"/>
    </row>
    <row r="36" spans="1:14" ht="15">
      <c r="A36" s="23" t="s">
        <v>363</v>
      </c>
      <c r="B36" s="23" t="s">
        <v>339</v>
      </c>
      <c r="C36" s="23" t="s">
        <v>337</v>
      </c>
      <c r="D36" s="24">
        <v>40940</v>
      </c>
      <c r="E36" s="23">
        <v>1200</v>
      </c>
      <c r="F36" s="23">
        <v>10</v>
      </c>
      <c r="G36" s="23">
        <v>1</v>
      </c>
      <c r="H36" s="23">
        <v>1000</v>
      </c>
      <c r="I36" s="65">
        <f t="shared" si="0"/>
        <v>0</v>
      </c>
      <c r="J36" s="65">
        <f t="shared" si="1"/>
        <v>1200</v>
      </c>
      <c r="K36" s="65">
        <f t="shared" si="2"/>
        <v>11800</v>
      </c>
      <c r="L36"/>
      <c r="M36"/>
      <c r="N36"/>
    </row>
    <row r="37" spans="1:14" ht="15">
      <c r="A37" s="23" t="s">
        <v>341</v>
      </c>
      <c r="B37" s="23" t="s">
        <v>339</v>
      </c>
      <c r="C37" s="23" t="s">
        <v>352</v>
      </c>
      <c r="D37" s="24">
        <v>40941</v>
      </c>
      <c r="E37" s="23">
        <v>4550</v>
      </c>
      <c r="F37" s="23">
        <v>22</v>
      </c>
      <c r="G37" s="23">
        <v>4</v>
      </c>
      <c r="H37" s="23">
        <v>750</v>
      </c>
      <c r="I37" s="65">
        <f t="shared" si="0"/>
        <v>0</v>
      </c>
      <c r="J37" s="65">
        <f t="shared" si="1"/>
        <v>18200</v>
      </c>
      <c r="K37" s="65">
        <f t="shared" si="2"/>
        <v>82650</v>
      </c>
      <c r="L37"/>
      <c r="M37"/>
      <c r="N37"/>
    </row>
    <row r="38" spans="1:14" ht="15">
      <c r="A38" s="23" t="s">
        <v>324</v>
      </c>
      <c r="B38" s="23" t="s">
        <v>342</v>
      </c>
      <c r="C38" s="23" t="s">
        <v>333</v>
      </c>
      <c r="D38" s="24">
        <v>40943</v>
      </c>
      <c r="E38" s="23">
        <v>3750</v>
      </c>
      <c r="F38" s="23">
        <v>39</v>
      </c>
      <c r="G38" s="23">
        <v>1</v>
      </c>
      <c r="H38" s="23">
        <v>750</v>
      </c>
      <c r="I38" s="65">
        <f t="shared" si="0"/>
        <v>0</v>
      </c>
      <c r="J38" s="65">
        <f t="shared" si="1"/>
        <v>3750</v>
      </c>
      <c r="K38" s="65">
        <f t="shared" si="2"/>
        <v>143250</v>
      </c>
      <c r="L38"/>
      <c r="M38"/>
      <c r="N38"/>
    </row>
    <row r="39" spans="1:14" ht="15">
      <c r="A39" s="23" t="s">
        <v>362</v>
      </c>
      <c r="B39" s="23" t="s">
        <v>335</v>
      </c>
      <c r="C39" s="23" t="s">
        <v>333</v>
      </c>
      <c r="D39" s="24">
        <v>40944</v>
      </c>
      <c r="E39" s="23">
        <v>4900</v>
      </c>
      <c r="F39" s="23">
        <v>48</v>
      </c>
      <c r="G39" s="23">
        <v>0</v>
      </c>
      <c r="H39" s="23">
        <v>0</v>
      </c>
      <c r="I39" s="65">
        <f t="shared" si="0"/>
        <v>0</v>
      </c>
      <c r="J39" s="65">
        <f t="shared" si="1"/>
        <v>0</v>
      </c>
      <c r="K39" s="65">
        <f t="shared" si="2"/>
        <v>235200</v>
      </c>
      <c r="L39"/>
      <c r="M39"/>
      <c r="N39"/>
    </row>
    <row r="40" spans="1:14" ht="15">
      <c r="A40" s="23" t="s">
        <v>362</v>
      </c>
      <c r="B40" s="23" t="s">
        <v>335</v>
      </c>
      <c r="C40" s="23" t="s">
        <v>337</v>
      </c>
      <c r="D40" s="24">
        <v>40947</v>
      </c>
      <c r="E40" s="23">
        <v>5000</v>
      </c>
      <c r="F40" s="23">
        <v>31</v>
      </c>
      <c r="G40" s="23">
        <v>3</v>
      </c>
      <c r="H40" s="23">
        <v>750</v>
      </c>
      <c r="I40" s="65">
        <f t="shared" si="0"/>
        <v>0</v>
      </c>
      <c r="J40" s="65">
        <f t="shared" si="1"/>
        <v>15000</v>
      </c>
      <c r="K40" s="65">
        <f t="shared" si="2"/>
        <v>140750</v>
      </c>
      <c r="L40"/>
      <c r="M40"/>
      <c r="N40"/>
    </row>
    <row r="41" spans="1:14" ht="15">
      <c r="A41" s="23" t="s">
        <v>326</v>
      </c>
      <c r="B41" s="23" t="s">
        <v>329</v>
      </c>
      <c r="C41" s="23" t="s">
        <v>354</v>
      </c>
      <c r="D41" s="24">
        <v>40948</v>
      </c>
      <c r="E41" s="23">
        <v>4000</v>
      </c>
      <c r="F41" s="23">
        <v>24</v>
      </c>
      <c r="G41" s="23">
        <v>1</v>
      </c>
      <c r="H41" s="23">
        <v>750</v>
      </c>
      <c r="I41" s="65">
        <f t="shared" si="0"/>
        <v>0</v>
      </c>
      <c r="J41" s="65">
        <f t="shared" si="1"/>
        <v>4000</v>
      </c>
      <c r="K41" s="65">
        <f t="shared" si="2"/>
        <v>92750</v>
      </c>
      <c r="L41"/>
      <c r="M41"/>
      <c r="N41"/>
    </row>
    <row r="42" spans="1:14" ht="15">
      <c r="A42" s="23" t="s">
        <v>341</v>
      </c>
      <c r="B42" s="23" t="s">
        <v>329</v>
      </c>
      <c r="C42" s="23" t="s">
        <v>333</v>
      </c>
      <c r="D42" s="24">
        <v>40949</v>
      </c>
      <c r="E42" s="23">
        <v>10000</v>
      </c>
      <c r="F42" s="23">
        <v>28</v>
      </c>
      <c r="G42" s="23">
        <v>0</v>
      </c>
      <c r="H42" s="23">
        <v>750</v>
      </c>
      <c r="I42" s="65">
        <f t="shared" si="0"/>
        <v>0</v>
      </c>
      <c r="J42" s="65">
        <f t="shared" si="1"/>
        <v>0</v>
      </c>
      <c r="K42" s="65">
        <f t="shared" si="2"/>
        <v>280750</v>
      </c>
      <c r="L42"/>
      <c r="M42"/>
      <c r="N42"/>
    </row>
    <row r="43" spans="1:14" ht="15">
      <c r="A43" s="23" t="s">
        <v>341</v>
      </c>
      <c r="B43" s="23" t="s">
        <v>339</v>
      </c>
      <c r="C43" s="23" t="s">
        <v>355</v>
      </c>
      <c r="D43" s="24">
        <v>40949</v>
      </c>
      <c r="E43" s="23">
        <v>4550</v>
      </c>
      <c r="F43" s="23">
        <v>41</v>
      </c>
      <c r="G43" s="23">
        <v>4</v>
      </c>
      <c r="H43" s="23">
        <v>0</v>
      </c>
      <c r="I43" s="65">
        <f t="shared" si="0"/>
        <v>0</v>
      </c>
      <c r="J43" s="65">
        <f t="shared" si="1"/>
        <v>18200</v>
      </c>
      <c r="K43" s="65">
        <f t="shared" si="2"/>
        <v>168350</v>
      </c>
      <c r="L43"/>
      <c r="M43"/>
      <c r="N43"/>
    </row>
    <row r="44" spans="1:14" ht="15">
      <c r="A44" s="23" t="s">
        <v>338</v>
      </c>
      <c r="B44" s="23" t="s">
        <v>329</v>
      </c>
      <c r="C44" s="23" t="s">
        <v>355</v>
      </c>
      <c r="D44" s="24">
        <v>40951</v>
      </c>
      <c r="E44" s="23">
        <v>2850</v>
      </c>
      <c r="F44" s="23">
        <v>23</v>
      </c>
      <c r="G44" s="23">
        <v>3</v>
      </c>
      <c r="H44" s="23">
        <v>750</v>
      </c>
      <c r="I44" s="65">
        <f t="shared" si="0"/>
        <v>0</v>
      </c>
      <c r="J44" s="65">
        <f t="shared" si="1"/>
        <v>8550</v>
      </c>
      <c r="K44" s="65">
        <f t="shared" si="2"/>
        <v>57750</v>
      </c>
      <c r="L44"/>
      <c r="M44"/>
      <c r="N44"/>
    </row>
    <row r="45" spans="1:14" ht="15">
      <c r="A45" s="23" t="s">
        <v>363</v>
      </c>
      <c r="B45" s="23" t="s">
        <v>334</v>
      </c>
      <c r="C45" s="23" t="s">
        <v>337</v>
      </c>
      <c r="D45" s="24">
        <v>40953</v>
      </c>
      <c r="E45" s="23">
        <v>1600</v>
      </c>
      <c r="F45" s="23">
        <v>35</v>
      </c>
      <c r="G45" s="23">
        <v>1</v>
      </c>
      <c r="H45" s="23">
        <v>750</v>
      </c>
      <c r="I45" s="65">
        <f t="shared" si="0"/>
        <v>0</v>
      </c>
      <c r="J45" s="65">
        <f t="shared" si="1"/>
        <v>1600</v>
      </c>
      <c r="K45" s="65">
        <f t="shared" si="2"/>
        <v>55150</v>
      </c>
      <c r="L45"/>
      <c r="M45"/>
      <c r="N45"/>
    </row>
    <row r="46" spans="1:14" ht="15">
      <c r="A46" s="23" t="s">
        <v>331</v>
      </c>
      <c r="B46" s="23" t="s">
        <v>328</v>
      </c>
      <c r="C46" s="23" t="s">
        <v>352</v>
      </c>
      <c r="D46" s="24">
        <v>40954</v>
      </c>
      <c r="E46" s="23">
        <v>900</v>
      </c>
      <c r="F46" s="23">
        <v>28</v>
      </c>
      <c r="G46" s="23">
        <v>4</v>
      </c>
      <c r="H46" s="23">
        <v>750</v>
      </c>
      <c r="I46" s="65">
        <f t="shared" si="0"/>
        <v>0</v>
      </c>
      <c r="J46" s="65">
        <f t="shared" si="1"/>
        <v>3600</v>
      </c>
      <c r="K46" s="65">
        <f t="shared" si="2"/>
        <v>22350</v>
      </c>
      <c r="L46"/>
      <c r="M46"/>
      <c r="N46"/>
    </row>
    <row r="47" spans="1:14" ht="15">
      <c r="A47" s="23" t="s">
        <v>341</v>
      </c>
      <c r="B47" s="23" t="s">
        <v>329</v>
      </c>
      <c r="C47" s="23" t="s">
        <v>353</v>
      </c>
      <c r="D47" s="24">
        <v>40958</v>
      </c>
      <c r="E47" s="23">
        <v>10250</v>
      </c>
      <c r="F47" s="23">
        <v>16</v>
      </c>
      <c r="G47" s="23">
        <v>4</v>
      </c>
      <c r="H47" s="23">
        <v>1000</v>
      </c>
      <c r="I47" s="65">
        <f t="shared" si="0"/>
        <v>0</v>
      </c>
      <c r="J47" s="65">
        <f t="shared" si="1"/>
        <v>41000</v>
      </c>
      <c r="K47" s="65">
        <f t="shared" si="2"/>
        <v>124000</v>
      </c>
      <c r="L47"/>
      <c r="M47"/>
      <c r="N47"/>
    </row>
    <row r="48" spans="1:14" ht="15">
      <c r="A48" s="23" t="s">
        <v>330</v>
      </c>
      <c r="B48" s="23" t="s">
        <v>328</v>
      </c>
      <c r="C48" s="23" t="s">
        <v>355</v>
      </c>
      <c r="D48" s="24">
        <v>40958</v>
      </c>
      <c r="E48" s="23">
        <v>3900</v>
      </c>
      <c r="F48" s="23">
        <v>38</v>
      </c>
      <c r="G48" s="23">
        <v>4</v>
      </c>
      <c r="H48" s="23">
        <v>750</v>
      </c>
      <c r="I48" s="65">
        <f t="shared" si="0"/>
        <v>0</v>
      </c>
      <c r="J48" s="65">
        <f t="shared" si="1"/>
        <v>15600</v>
      </c>
      <c r="K48" s="65">
        <f t="shared" si="2"/>
        <v>133350</v>
      </c>
      <c r="L48"/>
      <c r="M48"/>
      <c r="N48"/>
    </row>
    <row r="49" spans="1:14" ht="15">
      <c r="A49" s="23" t="s">
        <v>326</v>
      </c>
      <c r="B49" s="23" t="s">
        <v>329</v>
      </c>
      <c r="C49" s="23" t="s">
        <v>337</v>
      </c>
      <c r="D49" s="24">
        <v>40959</v>
      </c>
      <c r="E49" s="23">
        <v>4050</v>
      </c>
      <c r="F49" s="23">
        <v>19</v>
      </c>
      <c r="G49" s="23">
        <v>2</v>
      </c>
      <c r="H49" s="23">
        <v>1000</v>
      </c>
      <c r="I49" s="65">
        <f t="shared" si="0"/>
        <v>0</v>
      </c>
      <c r="J49" s="65">
        <f t="shared" si="1"/>
        <v>8100</v>
      </c>
      <c r="K49" s="65">
        <f t="shared" si="2"/>
        <v>69850</v>
      </c>
      <c r="L49"/>
      <c r="M49"/>
      <c r="N49"/>
    </row>
    <row r="50" spans="1:14" ht="15">
      <c r="A50" s="23" t="s">
        <v>341</v>
      </c>
      <c r="B50" s="23" t="s">
        <v>332</v>
      </c>
      <c r="C50" s="23" t="s">
        <v>354</v>
      </c>
      <c r="D50" s="24">
        <v>40960</v>
      </c>
      <c r="E50" s="23">
        <v>5400</v>
      </c>
      <c r="F50" s="23">
        <v>35</v>
      </c>
      <c r="G50" s="23">
        <v>1</v>
      </c>
      <c r="H50" s="23">
        <v>750</v>
      </c>
      <c r="I50" s="65">
        <f t="shared" si="0"/>
        <v>0</v>
      </c>
      <c r="J50" s="65">
        <f t="shared" si="1"/>
        <v>5400</v>
      </c>
      <c r="K50" s="65">
        <f t="shared" si="2"/>
        <v>184350</v>
      </c>
      <c r="L50"/>
      <c r="M50"/>
      <c r="N50"/>
    </row>
    <row r="51" spans="1:14" ht="15">
      <c r="A51" s="23" t="s">
        <v>363</v>
      </c>
      <c r="B51" s="23" t="s">
        <v>336</v>
      </c>
      <c r="C51" s="23" t="s">
        <v>352</v>
      </c>
      <c r="D51" s="24">
        <v>40960</v>
      </c>
      <c r="E51" s="23">
        <v>1960</v>
      </c>
      <c r="F51" s="23">
        <v>20</v>
      </c>
      <c r="G51" s="23">
        <v>3</v>
      </c>
      <c r="H51" s="23">
        <v>750</v>
      </c>
      <c r="I51" s="65">
        <f t="shared" si="0"/>
        <v>0</v>
      </c>
      <c r="J51" s="65">
        <f t="shared" si="1"/>
        <v>5880</v>
      </c>
      <c r="K51" s="65">
        <f t="shared" si="2"/>
        <v>34070</v>
      </c>
      <c r="L51"/>
      <c r="M51"/>
      <c r="N51"/>
    </row>
    <row r="52" spans="1:14" ht="15">
      <c r="A52" s="23" t="s">
        <v>331</v>
      </c>
      <c r="B52" s="23" t="s">
        <v>335</v>
      </c>
      <c r="C52" s="23" t="s">
        <v>354</v>
      </c>
      <c r="D52" s="24">
        <v>40961</v>
      </c>
      <c r="E52" s="23">
        <v>2000</v>
      </c>
      <c r="F52" s="23">
        <v>14</v>
      </c>
      <c r="G52" s="23">
        <v>0</v>
      </c>
      <c r="H52" s="23">
        <v>1000</v>
      </c>
      <c r="I52" s="65">
        <f t="shared" si="0"/>
        <v>0</v>
      </c>
      <c r="J52" s="65">
        <f t="shared" si="1"/>
        <v>0</v>
      </c>
      <c r="K52" s="65">
        <f t="shared" si="2"/>
        <v>29000</v>
      </c>
      <c r="L52"/>
      <c r="M52"/>
      <c r="N52"/>
    </row>
    <row r="53" spans="1:14" ht="15">
      <c r="A53" s="23" t="s">
        <v>343</v>
      </c>
      <c r="B53" s="23" t="s">
        <v>332</v>
      </c>
      <c r="C53" s="23" t="s">
        <v>333</v>
      </c>
      <c r="D53" s="24">
        <v>40961</v>
      </c>
      <c r="E53" s="23">
        <v>1500</v>
      </c>
      <c r="F53" s="23">
        <v>25</v>
      </c>
      <c r="G53" s="23">
        <v>1</v>
      </c>
      <c r="H53" s="23">
        <v>750</v>
      </c>
      <c r="I53" s="65">
        <f t="shared" si="0"/>
        <v>0</v>
      </c>
      <c r="J53" s="65">
        <f t="shared" si="1"/>
        <v>1500</v>
      </c>
      <c r="K53" s="65">
        <f t="shared" si="2"/>
        <v>36750</v>
      </c>
      <c r="L53"/>
      <c r="M53"/>
      <c r="N53"/>
    </row>
    <row r="54" spans="1:14" ht="15">
      <c r="A54" s="23" t="s">
        <v>362</v>
      </c>
      <c r="B54" s="23" t="s">
        <v>328</v>
      </c>
      <c r="C54" s="23" t="s">
        <v>355</v>
      </c>
      <c r="D54" s="24">
        <v>40962</v>
      </c>
      <c r="E54" s="23">
        <v>1350</v>
      </c>
      <c r="F54" s="23">
        <v>20</v>
      </c>
      <c r="G54" s="23">
        <v>3</v>
      </c>
      <c r="H54" s="23">
        <v>750</v>
      </c>
      <c r="I54" s="65">
        <f t="shared" si="0"/>
        <v>0</v>
      </c>
      <c r="J54" s="65">
        <f t="shared" si="1"/>
        <v>4050</v>
      </c>
      <c r="K54" s="65">
        <f t="shared" si="2"/>
        <v>23700</v>
      </c>
      <c r="L54"/>
      <c r="M54"/>
      <c r="N54"/>
    </row>
    <row r="55" spans="1:14" ht="15">
      <c r="A55" s="23" t="s">
        <v>343</v>
      </c>
      <c r="B55" s="23" t="s">
        <v>339</v>
      </c>
      <c r="C55" s="23" t="s">
        <v>353</v>
      </c>
      <c r="D55" s="24">
        <v>40962</v>
      </c>
      <c r="E55" s="23">
        <v>2000</v>
      </c>
      <c r="F55" s="23">
        <v>24</v>
      </c>
      <c r="G55" s="23">
        <v>3</v>
      </c>
      <c r="H55" s="23">
        <v>750</v>
      </c>
      <c r="I55" s="65">
        <f t="shared" si="0"/>
        <v>0</v>
      </c>
      <c r="J55" s="65">
        <f t="shared" si="1"/>
        <v>6000</v>
      </c>
      <c r="K55" s="65">
        <f t="shared" si="2"/>
        <v>42750</v>
      </c>
      <c r="L55"/>
      <c r="M55"/>
      <c r="N55"/>
    </row>
    <row r="56" spans="1:14" ht="15">
      <c r="A56" s="23" t="s">
        <v>343</v>
      </c>
      <c r="B56" s="23" t="s">
        <v>332</v>
      </c>
      <c r="C56" s="23" t="s">
        <v>352</v>
      </c>
      <c r="D56" s="24">
        <v>40963</v>
      </c>
      <c r="E56" s="23">
        <v>1650</v>
      </c>
      <c r="F56" s="23">
        <v>30</v>
      </c>
      <c r="G56" s="23">
        <v>1</v>
      </c>
      <c r="H56" s="23">
        <v>750</v>
      </c>
      <c r="I56" s="65">
        <f t="shared" si="0"/>
        <v>0</v>
      </c>
      <c r="J56" s="65">
        <f t="shared" si="1"/>
        <v>1650</v>
      </c>
      <c r="K56" s="65">
        <f t="shared" si="2"/>
        <v>48600</v>
      </c>
      <c r="L56"/>
      <c r="M56"/>
      <c r="N56"/>
    </row>
    <row r="57" spans="1:14" ht="15">
      <c r="A57" s="23" t="s">
        <v>343</v>
      </c>
      <c r="B57" s="23" t="s">
        <v>332</v>
      </c>
      <c r="C57" s="23" t="s">
        <v>337</v>
      </c>
      <c r="D57" s="24">
        <v>40964</v>
      </c>
      <c r="E57" s="23">
        <v>1700</v>
      </c>
      <c r="F57" s="23">
        <v>42</v>
      </c>
      <c r="G57" s="23">
        <v>1</v>
      </c>
      <c r="H57" s="23">
        <v>0</v>
      </c>
      <c r="I57" s="65">
        <f t="shared" si="0"/>
        <v>0</v>
      </c>
      <c r="J57" s="65">
        <f t="shared" si="1"/>
        <v>1700</v>
      </c>
      <c r="K57" s="65">
        <f t="shared" si="2"/>
        <v>69700</v>
      </c>
      <c r="L57"/>
      <c r="M57"/>
      <c r="N57"/>
    </row>
    <row r="58" spans="1:14" ht="15">
      <c r="A58" s="23" t="s">
        <v>363</v>
      </c>
      <c r="B58" s="23" t="s">
        <v>329</v>
      </c>
      <c r="C58" s="23" t="s">
        <v>352</v>
      </c>
      <c r="D58" s="24">
        <v>40965</v>
      </c>
      <c r="E58" s="23">
        <v>2500</v>
      </c>
      <c r="F58" s="23">
        <v>15</v>
      </c>
      <c r="G58" s="23">
        <v>3</v>
      </c>
      <c r="H58" s="23">
        <v>1000</v>
      </c>
      <c r="I58" s="65">
        <f t="shared" si="0"/>
        <v>0</v>
      </c>
      <c r="J58" s="65">
        <f t="shared" si="1"/>
        <v>7500</v>
      </c>
      <c r="K58" s="65">
        <f t="shared" si="2"/>
        <v>31000</v>
      </c>
      <c r="L58"/>
      <c r="M58"/>
      <c r="N58"/>
    </row>
    <row r="59" spans="1:14" ht="15">
      <c r="A59" s="23" t="s">
        <v>363</v>
      </c>
      <c r="B59" s="23" t="s">
        <v>329</v>
      </c>
      <c r="C59" s="23" t="s">
        <v>355</v>
      </c>
      <c r="D59" s="24">
        <v>40966</v>
      </c>
      <c r="E59" s="23">
        <v>2500</v>
      </c>
      <c r="F59" s="23">
        <v>44</v>
      </c>
      <c r="G59" s="23">
        <v>0</v>
      </c>
      <c r="H59" s="23">
        <v>0</v>
      </c>
      <c r="I59" s="65">
        <f t="shared" si="0"/>
        <v>0</v>
      </c>
      <c r="J59" s="65">
        <f t="shared" si="1"/>
        <v>0</v>
      </c>
      <c r="K59" s="65">
        <f t="shared" si="2"/>
        <v>110000</v>
      </c>
      <c r="L59"/>
      <c r="M59"/>
      <c r="N59"/>
    </row>
    <row r="60" spans="1:14" ht="15">
      <c r="A60" s="23" t="s">
        <v>343</v>
      </c>
      <c r="B60" s="23" t="s">
        <v>336</v>
      </c>
      <c r="C60" s="23" t="s">
        <v>333</v>
      </c>
      <c r="D60" s="24">
        <v>40967</v>
      </c>
      <c r="E60" s="23">
        <v>1750</v>
      </c>
      <c r="F60" s="23">
        <v>38</v>
      </c>
      <c r="G60" s="23">
        <v>0</v>
      </c>
      <c r="H60" s="23">
        <v>750</v>
      </c>
      <c r="I60" s="65">
        <f t="shared" si="0"/>
        <v>0</v>
      </c>
      <c r="J60" s="65">
        <f t="shared" si="1"/>
        <v>0</v>
      </c>
      <c r="K60" s="65">
        <f t="shared" si="2"/>
        <v>67250</v>
      </c>
      <c r="L60"/>
      <c r="M60"/>
      <c r="N60"/>
    </row>
    <row r="61" spans="1:14" ht="15">
      <c r="A61" s="23" t="s">
        <v>362</v>
      </c>
      <c r="B61" s="23" t="s">
        <v>332</v>
      </c>
      <c r="C61" s="23" t="s">
        <v>355</v>
      </c>
      <c r="D61" s="24">
        <v>40969</v>
      </c>
      <c r="E61" s="23">
        <v>2570</v>
      </c>
      <c r="F61" s="23">
        <v>31</v>
      </c>
      <c r="G61" s="23">
        <v>3</v>
      </c>
      <c r="H61" s="23">
        <v>750</v>
      </c>
      <c r="I61" s="65">
        <f t="shared" si="0"/>
        <v>0</v>
      </c>
      <c r="J61" s="65">
        <f t="shared" si="1"/>
        <v>7710</v>
      </c>
      <c r="K61" s="65">
        <f t="shared" si="2"/>
        <v>72710</v>
      </c>
      <c r="L61"/>
      <c r="M61"/>
      <c r="N61"/>
    </row>
    <row r="62" spans="1:14" ht="15">
      <c r="A62" s="23" t="s">
        <v>363</v>
      </c>
      <c r="B62" s="23" t="s">
        <v>332</v>
      </c>
      <c r="C62" s="23" t="s">
        <v>355</v>
      </c>
      <c r="D62" s="24">
        <v>40970</v>
      </c>
      <c r="E62" s="23">
        <v>1650</v>
      </c>
      <c r="F62" s="23">
        <v>28</v>
      </c>
      <c r="G62" s="23">
        <v>0</v>
      </c>
      <c r="H62" s="23">
        <v>750</v>
      </c>
      <c r="I62" s="65">
        <f t="shared" si="0"/>
        <v>0</v>
      </c>
      <c r="J62" s="65">
        <f t="shared" si="1"/>
        <v>0</v>
      </c>
      <c r="K62" s="65">
        <f t="shared" si="2"/>
        <v>46950</v>
      </c>
      <c r="L62"/>
      <c r="M62"/>
      <c r="N62"/>
    </row>
    <row r="63" spans="1:14" ht="15">
      <c r="A63" s="23" t="s">
        <v>361</v>
      </c>
      <c r="B63" s="23" t="s">
        <v>328</v>
      </c>
      <c r="C63" s="23" t="s">
        <v>337</v>
      </c>
      <c r="D63" s="24">
        <v>40971</v>
      </c>
      <c r="E63" s="23">
        <v>1850</v>
      </c>
      <c r="F63" s="23">
        <v>12</v>
      </c>
      <c r="G63" s="23">
        <v>1</v>
      </c>
      <c r="H63" s="23">
        <v>1000</v>
      </c>
      <c r="I63" s="65">
        <f t="shared" si="0"/>
        <v>0</v>
      </c>
      <c r="J63" s="65">
        <f t="shared" si="1"/>
        <v>1850</v>
      </c>
      <c r="K63" s="65">
        <f t="shared" si="2"/>
        <v>21350</v>
      </c>
      <c r="L63"/>
      <c r="M63"/>
      <c r="N63"/>
    </row>
    <row r="64" spans="1:14" ht="15">
      <c r="A64" s="23" t="s">
        <v>363</v>
      </c>
      <c r="B64" s="23" t="s">
        <v>329</v>
      </c>
      <c r="C64" s="23" t="s">
        <v>337</v>
      </c>
      <c r="D64" s="24">
        <v>40971</v>
      </c>
      <c r="E64" s="23">
        <v>2500</v>
      </c>
      <c r="F64" s="23">
        <v>11</v>
      </c>
      <c r="G64" s="23">
        <v>0</v>
      </c>
      <c r="H64" s="23">
        <v>1000</v>
      </c>
      <c r="I64" s="65">
        <f t="shared" si="0"/>
        <v>0</v>
      </c>
      <c r="J64" s="65">
        <f t="shared" si="1"/>
        <v>0</v>
      </c>
      <c r="K64" s="65">
        <f t="shared" si="2"/>
        <v>28500</v>
      </c>
      <c r="L64"/>
      <c r="M64"/>
      <c r="N64"/>
    </row>
    <row r="65" spans="1:14" ht="15">
      <c r="A65" s="23" t="s">
        <v>326</v>
      </c>
      <c r="B65" s="23" t="s">
        <v>329</v>
      </c>
      <c r="C65" s="23" t="s">
        <v>353</v>
      </c>
      <c r="D65" s="24">
        <v>40971</v>
      </c>
      <c r="E65" s="23">
        <v>4050</v>
      </c>
      <c r="F65" s="23">
        <v>47</v>
      </c>
      <c r="G65" s="23">
        <v>3</v>
      </c>
      <c r="H65" s="23">
        <v>0</v>
      </c>
      <c r="I65" s="65">
        <f t="shared" si="0"/>
        <v>202.5</v>
      </c>
      <c r="J65" s="65">
        <f t="shared" si="1"/>
        <v>12150</v>
      </c>
      <c r="K65" s="65">
        <f t="shared" si="2"/>
        <v>169290</v>
      </c>
      <c r="L65"/>
      <c r="M65"/>
      <c r="N65"/>
    </row>
    <row r="66" spans="1:14" ht="15">
      <c r="A66" s="23" t="s">
        <v>340</v>
      </c>
      <c r="B66" s="23" t="s">
        <v>328</v>
      </c>
      <c r="C66" s="23" t="s">
        <v>354</v>
      </c>
      <c r="D66" s="24">
        <v>40973</v>
      </c>
      <c r="E66" s="23">
        <v>1200</v>
      </c>
      <c r="F66" s="23">
        <v>43</v>
      </c>
      <c r="G66" s="23">
        <v>0</v>
      </c>
      <c r="H66" s="23">
        <v>0</v>
      </c>
      <c r="I66" s="65">
        <f t="shared" si="0"/>
        <v>0</v>
      </c>
      <c r="J66" s="65">
        <f t="shared" si="1"/>
        <v>0</v>
      </c>
      <c r="K66" s="65">
        <f t="shared" si="2"/>
        <v>51600</v>
      </c>
      <c r="L66"/>
      <c r="M66"/>
      <c r="N66"/>
    </row>
    <row r="67" spans="1:14" ht="15">
      <c r="A67" s="23" t="s">
        <v>363</v>
      </c>
      <c r="B67" s="23" t="s">
        <v>336</v>
      </c>
      <c r="C67" s="23" t="s">
        <v>353</v>
      </c>
      <c r="D67" s="24">
        <v>40973</v>
      </c>
      <c r="E67" s="23">
        <v>2000</v>
      </c>
      <c r="F67" s="23">
        <v>16</v>
      </c>
      <c r="G67" s="23">
        <v>0</v>
      </c>
      <c r="H67" s="23">
        <v>1000</v>
      </c>
      <c r="I67" s="65">
        <f t="shared" si="0"/>
        <v>0</v>
      </c>
      <c r="J67" s="65">
        <f t="shared" si="1"/>
        <v>0</v>
      </c>
      <c r="K67" s="65">
        <f t="shared" si="2"/>
        <v>33000</v>
      </c>
      <c r="L67"/>
      <c r="M67"/>
      <c r="N67"/>
    </row>
    <row r="68" spans="1:14" ht="15">
      <c r="A68" s="23" t="s">
        <v>330</v>
      </c>
      <c r="B68" s="23" t="s">
        <v>339</v>
      </c>
      <c r="C68" s="23" t="s">
        <v>353</v>
      </c>
      <c r="D68" s="24">
        <v>40973</v>
      </c>
      <c r="E68" s="23">
        <v>2620</v>
      </c>
      <c r="F68" s="23">
        <v>25</v>
      </c>
      <c r="G68" s="23">
        <v>0</v>
      </c>
      <c r="H68" s="23">
        <v>750</v>
      </c>
      <c r="I68" s="65">
        <f t="shared" si="0"/>
        <v>0</v>
      </c>
      <c r="J68" s="65">
        <f t="shared" si="1"/>
        <v>0</v>
      </c>
      <c r="K68" s="65">
        <f t="shared" si="2"/>
        <v>66250</v>
      </c>
      <c r="L68"/>
      <c r="M68"/>
      <c r="N68"/>
    </row>
    <row r="69" spans="1:14" ht="15">
      <c r="A69" s="23" t="s">
        <v>340</v>
      </c>
      <c r="B69" s="23" t="s">
        <v>335</v>
      </c>
      <c r="C69" s="23" t="s">
        <v>353</v>
      </c>
      <c r="D69" s="24">
        <v>40975</v>
      </c>
      <c r="E69" s="23">
        <v>1100</v>
      </c>
      <c r="F69" s="23">
        <v>50</v>
      </c>
      <c r="G69" s="23">
        <v>3</v>
      </c>
      <c r="H69" s="23">
        <v>0</v>
      </c>
      <c r="I69" s="65">
        <f t="shared" si="0"/>
        <v>0</v>
      </c>
      <c r="J69" s="65">
        <f t="shared" si="1"/>
        <v>3300</v>
      </c>
      <c r="K69" s="65">
        <f t="shared" si="2"/>
        <v>51700</v>
      </c>
      <c r="L69"/>
      <c r="M69"/>
      <c r="N69"/>
    </row>
    <row r="70" spans="1:14" ht="15">
      <c r="A70" s="23" t="s">
        <v>362</v>
      </c>
      <c r="B70" s="23" t="s">
        <v>339</v>
      </c>
      <c r="C70" s="23" t="s">
        <v>354</v>
      </c>
      <c r="D70" s="24">
        <v>40975</v>
      </c>
      <c r="E70" s="23">
        <v>3200</v>
      </c>
      <c r="F70" s="23">
        <v>32</v>
      </c>
      <c r="G70" s="23">
        <v>0</v>
      </c>
      <c r="H70" s="23">
        <v>750</v>
      </c>
      <c r="I70" s="65">
        <f t="shared" si="0"/>
        <v>0</v>
      </c>
      <c r="J70" s="65">
        <f t="shared" si="1"/>
        <v>0</v>
      </c>
      <c r="K70" s="65">
        <f t="shared" si="2"/>
        <v>103150</v>
      </c>
      <c r="L70"/>
      <c r="M70"/>
      <c r="N70"/>
    </row>
    <row r="71" spans="1:14" ht="15">
      <c r="A71" s="23" t="s">
        <v>326</v>
      </c>
      <c r="B71" s="23" t="s">
        <v>334</v>
      </c>
      <c r="C71" s="23" t="s">
        <v>337</v>
      </c>
      <c r="D71" s="24">
        <v>40976</v>
      </c>
      <c r="E71" s="23">
        <v>4550</v>
      </c>
      <c r="F71" s="23">
        <v>27</v>
      </c>
      <c r="G71" s="23">
        <v>0</v>
      </c>
      <c r="H71" s="23">
        <v>750</v>
      </c>
      <c r="I71" s="65">
        <f t="shared" si="0"/>
        <v>0</v>
      </c>
      <c r="J71" s="65">
        <f t="shared" si="1"/>
        <v>0</v>
      </c>
      <c r="K71" s="65">
        <f t="shared" si="2"/>
        <v>123600</v>
      </c>
      <c r="L71"/>
      <c r="M71"/>
      <c r="N71"/>
    </row>
    <row r="72" spans="1:14" ht="15">
      <c r="A72" s="23" t="s">
        <v>330</v>
      </c>
      <c r="B72" s="23" t="s">
        <v>339</v>
      </c>
      <c r="C72" s="23" t="s">
        <v>354</v>
      </c>
      <c r="D72" s="24">
        <v>40976</v>
      </c>
      <c r="E72" s="23">
        <v>2600</v>
      </c>
      <c r="F72" s="23">
        <v>10</v>
      </c>
      <c r="G72" s="23">
        <v>4</v>
      </c>
      <c r="H72" s="23">
        <v>1000</v>
      </c>
      <c r="I72" s="65">
        <f t="shared" si="0"/>
        <v>0</v>
      </c>
      <c r="J72" s="65">
        <f t="shared" si="1"/>
        <v>10400</v>
      </c>
      <c r="K72" s="65">
        <f t="shared" si="2"/>
        <v>16600</v>
      </c>
      <c r="L72"/>
      <c r="M72"/>
      <c r="N72"/>
    </row>
    <row r="73" spans="1:14" ht="15">
      <c r="A73" s="23" t="s">
        <v>343</v>
      </c>
      <c r="B73" s="23" t="s">
        <v>334</v>
      </c>
      <c r="C73" s="23" t="s">
        <v>354</v>
      </c>
      <c r="D73" s="24">
        <v>40976</v>
      </c>
      <c r="E73" s="23">
        <v>1350</v>
      </c>
      <c r="F73" s="23">
        <v>36</v>
      </c>
      <c r="G73" s="23">
        <v>0</v>
      </c>
      <c r="H73" s="23">
        <v>750</v>
      </c>
      <c r="I73" s="65">
        <f t="shared" si="0"/>
        <v>0</v>
      </c>
      <c r="J73" s="65">
        <f t="shared" si="1"/>
        <v>0</v>
      </c>
      <c r="K73" s="65">
        <f t="shared" si="2"/>
        <v>49350</v>
      </c>
      <c r="L73"/>
      <c r="M73"/>
      <c r="N73"/>
    </row>
    <row r="74" spans="1:14" ht="15">
      <c r="A74" s="23" t="s">
        <v>340</v>
      </c>
      <c r="B74" s="23" t="s">
        <v>335</v>
      </c>
      <c r="C74" s="23" t="s">
        <v>355</v>
      </c>
      <c r="D74" s="24">
        <v>40978</v>
      </c>
      <c r="E74" s="23">
        <v>1080</v>
      </c>
      <c r="F74" s="23">
        <v>18</v>
      </c>
      <c r="G74" s="23">
        <v>1</v>
      </c>
      <c r="H74" s="23">
        <v>1000</v>
      </c>
      <c r="I74" s="65">
        <f t="shared" si="0"/>
        <v>0</v>
      </c>
      <c r="J74" s="65">
        <f t="shared" si="1"/>
        <v>1080</v>
      </c>
      <c r="K74" s="65">
        <f t="shared" si="2"/>
        <v>19360</v>
      </c>
      <c r="L74"/>
      <c r="M74"/>
      <c r="N74"/>
    </row>
    <row r="75" spans="1:14" ht="15">
      <c r="A75" s="23" t="s">
        <v>343</v>
      </c>
      <c r="B75" s="23" t="s">
        <v>328</v>
      </c>
      <c r="C75" s="23" t="s">
        <v>352</v>
      </c>
      <c r="D75" s="24">
        <v>40979</v>
      </c>
      <c r="E75" s="23">
        <v>1350</v>
      </c>
      <c r="F75" s="23">
        <v>32</v>
      </c>
      <c r="G75" s="23">
        <v>0</v>
      </c>
      <c r="H75" s="23">
        <v>750</v>
      </c>
      <c r="I75" s="65">
        <f t="shared" si="0"/>
        <v>0</v>
      </c>
      <c r="J75" s="65">
        <f t="shared" si="1"/>
        <v>0</v>
      </c>
      <c r="K75" s="65">
        <f t="shared" si="2"/>
        <v>43950</v>
      </c>
      <c r="L75"/>
      <c r="M75"/>
      <c r="N75"/>
    </row>
    <row r="76" spans="1:14" ht="15">
      <c r="A76" s="23" t="s">
        <v>363</v>
      </c>
      <c r="B76" s="23" t="s">
        <v>332</v>
      </c>
      <c r="C76" s="23" t="s">
        <v>353</v>
      </c>
      <c r="D76" s="24">
        <v>40980</v>
      </c>
      <c r="E76" s="23">
        <v>1650</v>
      </c>
      <c r="F76" s="23">
        <v>16</v>
      </c>
      <c r="G76" s="23">
        <v>3</v>
      </c>
      <c r="H76" s="23">
        <v>1000</v>
      </c>
      <c r="I76" s="65">
        <f t="shared" ref="I76:I139" si="3">IF(AND(C76="Легкість буття", E76&gt;4000, A76="Мясорубка", OR(B76="Kenwoodik", B76="Tefalka")), E76*0.05,
 IF(AND(C76="Смак Компані", B76="Kenwoodik", A76="Мясорубка"), E76*0.1,
 IF(AND(B76="Panasonika", E76&gt;4710), E76*0.04, 0)))</f>
        <v>0</v>
      </c>
      <c r="J76" s="65">
        <f t="shared" ref="J76:J139" si="4">E76 * G76</f>
        <v>4950</v>
      </c>
      <c r="K76" s="65">
        <f t="shared" ref="K76:K139" si="5">(E76 - I76) * (F76 - G76) + H76</f>
        <v>22450</v>
      </c>
      <c r="L76"/>
      <c r="M76"/>
      <c r="N76"/>
    </row>
    <row r="77" spans="1:14" ht="15">
      <c r="A77" s="23" t="s">
        <v>341</v>
      </c>
      <c r="B77" s="23" t="s">
        <v>332</v>
      </c>
      <c r="C77" s="23" t="s">
        <v>333</v>
      </c>
      <c r="D77" s="24">
        <v>40981</v>
      </c>
      <c r="E77" s="23">
        <v>5490</v>
      </c>
      <c r="F77" s="23">
        <v>41</v>
      </c>
      <c r="G77" s="23">
        <v>1</v>
      </c>
      <c r="H77" s="23">
        <v>0</v>
      </c>
      <c r="I77" s="65">
        <f t="shared" si="3"/>
        <v>0</v>
      </c>
      <c r="J77" s="65">
        <f t="shared" si="4"/>
        <v>5490</v>
      </c>
      <c r="K77" s="65">
        <f t="shared" si="5"/>
        <v>219600</v>
      </c>
      <c r="L77"/>
      <c r="M77"/>
      <c r="N77"/>
    </row>
    <row r="78" spans="1:14" ht="15">
      <c r="A78" s="23" t="s">
        <v>363</v>
      </c>
      <c r="B78" s="23" t="s">
        <v>334</v>
      </c>
      <c r="C78" s="23" t="s">
        <v>355</v>
      </c>
      <c r="D78" s="24">
        <v>40983</v>
      </c>
      <c r="E78" s="23">
        <v>1560</v>
      </c>
      <c r="F78" s="23">
        <v>18</v>
      </c>
      <c r="G78" s="23">
        <v>1</v>
      </c>
      <c r="H78" s="23">
        <v>1000</v>
      </c>
      <c r="I78" s="65">
        <f t="shared" si="3"/>
        <v>0</v>
      </c>
      <c r="J78" s="65">
        <f t="shared" si="4"/>
        <v>1560</v>
      </c>
      <c r="K78" s="65">
        <f t="shared" si="5"/>
        <v>27520</v>
      </c>
      <c r="L78"/>
      <c r="M78"/>
      <c r="N78"/>
    </row>
    <row r="79" spans="1:14" ht="15">
      <c r="A79" s="23" t="s">
        <v>343</v>
      </c>
      <c r="B79" s="23" t="s">
        <v>334</v>
      </c>
      <c r="C79" s="23" t="s">
        <v>355</v>
      </c>
      <c r="D79" s="24">
        <v>40983</v>
      </c>
      <c r="E79" s="23">
        <v>1300</v>
      </c>
      <c r="F79" s="23">
        <v>35</v>
      </c>
      <c r="G79" s="23">
        <v>1</v>
      </c>
      <c r="H79" s="23">
        <v>750</v>
      </c>
      <c r="I79" s="65">
        <f t="shared" si="3"/>
        <v>0</v>
      </c>
      <c r="J79" s="65">
        <f t="shared" si="4"/>
        <v>1300</v>
      </c>
      <c r="K79" s="65">
        <f t="shared" si="5"/>
        <v>44950</v>
      </c>
      <c r="L79"/>
      <c r="M79"/>
      <c r="N79"/>
    </row>
    <row r="80" spans="1:14" ht="15">
      <c r="A80" s="23" t="s">
        <v>340</v>
      </c>
      <c r="B80" s="23" t="s">
        <v>332</v>
      </c>
      <c r="C80" s="23" t="s">
        <v>352</v>
      </c>
      <c r="D80" s="24">
        <v>40984</v>
      </c>
      <c r="E80" s="23">
        <v>800</v>
      </c>
      <c r="F80" s="23">
        <v>17</v>
      </c>
      <c r="G80" s="23">
        <v>1</v>
      </c>
      <c r="H80" s="23">
        <v>1000</v>
      </c>
      <c r="I80" s="65">
        <f t="shared" si="3"/>
        <v>0</v>
      </c>
      <c r="J80" s="65">
        <f t="shared" si="4"/>
        <v>800</v>
      </c>
      <c r="K80" s="65">
        <f t="shared" si="5"/>
        <v>13800</v>
      </c>
      <c r="L80"/>
      <c r="M80"/>
      <c r="N80"/>
    </row>
    <row r="81" spans="1:14" ht="15">
      <c r="A81" s="23" t="s">
        <v>330</v>
      </c>
      <c r="B81" s="23" t="s">
        <v>329</v>
      </c>
      <c r="C81" s="23" t="s">
        <v>354</v>
      </c>
      <c r="D81" s="24">
        <v>40984</v>
      </c>
      <c r="E81" s="23">
        <v>2500</v>
      </c>
      <c r="F81" s="23">
        <v>48</v>
      </c>
      <c r="G81" s="23">
        <v>2</v>
      </c>
      <c r="H81" s="23">
        <v>0</v>
      </c>
      <c r="I81" s="65">
        <f t="shared" si="3"/>
        <v>0</v>
      </c>
      <c r="J81" s="65">
        <f t="shared" si="4"/>
        <v>5000</v>
      </c>
      <c r="K81" s="65">
        <f t="shared" si="5"/>
        <v>115000</v>
      </c>
      <c r="L81"/>
      <c r="M81"/>
      <c r="N81"/>
    </row>
    <row r="82" spans="1:14" ht="15">
      <c r="A82" s="23" t="s">
        <v>340</v>
      </c>
      <c r="B82" s="23" t="s">
        <v>336</v>
      </c>
      <c r="C82" s="23" t="s">
        <v>337</v>
      </c>
      <c r="D82" s="24">
        <v>40986</v>
      </c>
      <c r="E82" s="23">
        <v>1240</v>
      </c>
      <c r="F82" s="23">
        <v>27</v>
      </c>
      <c r="G82" s="23">
        <v>0</v>
      </c>
      <c r="H82" s="23">
        <v>750</v>
      </c>
      <c r="I82" s="65">
        <f t="shared" si="3"/>
        <v>0</v>
      </c>
      <c r="J82" s="65">
        <f t="shared" si="4"/>
        <v>0</v>
      </c>
      <c r="K82" s="65">
        <f t="shared" si="5"/>
        <v>34230</v>
      </c>
      <c r="L82"/>
      <c r="M82"/>
      <c r="N82"/>
    </row>
    <row r="83" spans="1:14" ht="15">
      <c r="A83" s="23" t="s">
        <v>362</v>
      </c>
      <c r="B83" s="23" t="s">
        <v>328</v>
      </c>
      <c r="C83" s="23" t="s">
        <v>355</v>
      </c>
      <c r="D83" s="24">
        <v>40986</v>
      </c>
      <c r="E83" s="23">
        <v>3180</v>
      </c>
      <c r="F83" s="23">
        <v>39</v>
      </c>
      <c r="G83" s="23">
        <v>1</v>
      </c>
      <c r="H83" s="23">
        <v>750</v>
      </c>
      <c r="I83" s="65">
        <f t="shared" si="3"/>
        <v>0</v>
      </c>
      <c r="J83" s="65">
        <f t="shared" si="4"/>
        <v>3180</v>
      </c>
      <c r="K83" s="65">
        <f t="shared" si="5"/>
        <v>121590</v>
      </c>
      <c r="L83"/>
      <c r="M83"/>
      <c r="N83"/>
    </row>
    <row r="84" spans="1:14" ht="15">
      <c r="A84" s="23" t="s">
        <v>363</v>
      </c>
      <c r="B84" s="23" t="s">
        <v>328</v>
      </c>
      <c r="C84" s="23" t="s">
        <v>353</v>
      </c>
      <c r="D84" s="24">
        <v>40988</v>
      </c>
      <c r="E84" s="23">
        <v>900</v>
      </c>
      <c r="F84" s="23">
        <v>40</v>
      </c>
      <c r="G84" s="23">
        <v>4</v>
      </c>
      <c r="H84" s="23">
        <v>750</v>
      </c>
      <c r="I84" s="65">
        <f t="shared" si="3"/>
        <v>0</v>
      </c>
      <c r="J84" s="65">
        <f t="shared" si="4"/>
        <v>3600</v>
      </c>
      <c r="K84" s="65">
        <f t="shared" si="5"/>
        <v>33150</v>
      </c>
      <c r="L84"/>
      <c r="M84"/>
      <c r="N84"/>
    </row>
    <row r="85" spans="1:14" ht="15">
      <c r="A85" s="23" t="s">
        <v>363</v>
      </c>
      <c r="B85" s="23" t="s">
        <v>332</v>
      </c>
      <c r="C85" s="23" t="s">
        <v>354</v>
      </c>
      <c r="D85" s="24">
        <v>40992</v>
      </c>
      <c r="E85" s="23">
        <v>1700</v>
      </c>
      <c r="F85" s="23">
        <v>40</v>
      </c>
      <c r="G85" s="23">
        <v>2</v>
      </c>
      <c r="H85" s="23">
        <v>750</v>
      </c>
      <c r="I85" s="65">
        <f t="shared" si="3"/>
        <v>0</v>
      </c>
      <c r="J85" s="65">
        <f t="shared" si="4"/>
        <v>3400</v>
      </c>
      <c r="K85" s="65">
        <f t="shared" si="5"/>
        <v>65350</v>
      </c>
      <c r="L85"/>
      <c r="M85"/>
      <c r="N85"/>
    </row>
    <row r="86" spans="1:14" ht="15">
      <c r="A86" s="23" t="s">
        <v>363</v>
      </c>
      <c r="B86" s="23" t="s">
        <v>328</v>
      </c>
      <c r="C86" s="23" t="s">
        <v>333</v>
      </c>
      <c r="D86" s="24">
        <v>40992</v>
      </c>
      <c r="E86" s="23">
        <v>880</v>
      </c>
      <c r="F86" s="23">
        <v>29</v>
      </c>
      <c r="G86" s="23">
        <v>2</v>
      </c>
      <c r="H86" s="23">
        <v>750</v>
      </c>
      <c r="I86" s="65">
        <f t="shared" si="3"/>
        <v>0</v>
      </c>
      <c r="J86" s="65">
        <f t="shared" si="4"/>
        <v>1760</v>
      </c>
      <c r="K86" s="65">
        <f t="shared" si="5"/>
        <v>24510</v>
      </c>
      <c r="L86"/>
      <c r="M86"/>
      <c r="N86"/>
    </row>
    <row r="87" spans="1:14" ht="15">
      <c r="A87" s="23" t="s">
        <v>343</v>
      </c>
      <c r="B87" s="23" t="s">
        <v>336</v>
      </c>
      <c r="C87" s="23" t="s">
        <v>337</v>
      </c>
      <c r="D87" s="24">
        <v>40992</v>
      </c>
      <c r="E87" s="23">
        <v>1800</v>
      </c>
      <c r="F87" s="23">
        <v>48</v>
      </c>
      <c r="G87" s="23">
        <v>4</v>
      </c>
      <c r="H87" s="23">
        <v>0</v>
      </c>
      <c r="I87" s="65">
        <f t="shared" si="3"/>
        <v>0</v>
      </c>
      <c r="J87" s="65">
        <f t="shared" si="4"/>
        <v>7200</v>
      </c>
      <c r="K87" s="65">
        <f t="shared" si="5"/>
        <v>79200</v>
      </c>
      <c r="L87"/>
      <c r="M87"/>
      <c r="N87"/>
    </row>
    <row r="88" spans="1:14" ht="15">
      <c r="A88" s="23" t="s">
        <v>330</v>
      </c>
      <c r="B88" s="23" t="s">
        <v>329</v>
      </c>
      <c r="C88" s="23" t="s">
        <v>352</v>
      </c>
      <c r="D88" s="24">
        <v>40993</v>
      </c>
      <c r="E88" s="23">
        <v>2560</v>
      </c>
      <c r="F88" s="23">
        <v>15</v>
      </c>
      <c r="G88" s="23">
        <v>0</v>
      </c>
      <c r="H88" s="23">
        <v>1000</v>
      </c>
      <c r="I88" s="65">
        <f t="shared" si="3"/>
        <v>0</v>
      </c>
      <c r="J88" s="65">
        <f t="shared" si="4"/>
        <v>0</v>
      </c>
      <c r="K88" s="65">
        <f t="shared" si="5"/>
        <v>39400</v>
      </c>
      <c r="L88"/>
      <c r="M88"/>
      <c r="N88"/>
    </row>
    <row r="89" spans="1:14" ht="15">
      <c r="A89" s="23" t="s">
        <v>331</v>
      </c>
      <c r="B89" s="23" t="s">
        <v>339</v>
      </c>
      <c r="C89" s="23" t="s">
        <v>355</v>
      </c>
      <c r="D89" s="24">
        <v>40994</v>
      </c>
      <c r="E89" s="23">
        <v>1750</v>
      </c>
      <c r="F89" s="23">
        <v>32</v>
      </c>
      <c r="G89" s="23">
        <v>2</v>
      </c>
      <c r="H89" s="23">
        <v>750</v>
      </c>
      <c r="I89" s="65">
        <f t="shared" si="3"/>
        <v>0</v>
      </c>
      <c r="J89" s="65">
        <f t="shared" si="4"/>
        <v>3500</v>
      </c>
      <c r="K89" s="65">
        <f t="shared" si="5"/>
        <v>53250</v>
      </c>
      <c r="L89"/>
      <c r="M89"/>
      <c r="N89"/>
    </row>
    <row r="90" spans="1:14" ht="15">
      <c r="A90" s="23" t="s">
        <v>343</v>
      </c>
      <c r="B90" s="23" t="s">
        <v>339</v>
      </c>
      <c r="C90" s="23" t="s">
        <v>355</v>
      </c>
      <c r="D90" s="24">
        <v>40996</v>
      </c>
      <c r="E90" s="23">
        <v>2000</v>
      </c>
      <c r="F90" s="23">
        <v>44</v>
      </c>
      <c r="G90" s="23">
        <v>4</v>
      </c>
      <c r="H90" s="23">
        <v>0</v>
      </c>
      <c r="I90" s="65">
        <f t="shared" si="3"/>
        <v>0</v>
      </c>
      <c r="J90" s="65">
        <f t="shared" si="4"/>
        <v>8000</v>
      </c>
      <c r="K90" s="65">
        <f t="shared" si="5"/>
        <v>80000</v>
      </c>
      <c r="L90"/>
      <c r="M90"/>
      <c r="N90"/>
    </row>
    <row r="91" spans="1:14" ht="15">
      <c r="A91" s="23" t="s">
        <v>340</v>
      </c>
      <c r="B91" s="23" t="s">
        <v>332</v>
      </c>
      <c r="C91" s="23" t="s">
        <v>354</v>
      </c>
      <c r="D91" s="24">
        <v>40997</v>
      </c>
      <c r="E91" s="23">
        <v>900</v>
      </c>
      <c r="F91" s="23">
        <v>38</v>
      </c>
      <c r="G91" s="23">
        <v>0</v>
      </c>
      <c r="H91" s="23">
        <v>750</v>
      </c>
      <c r="I91" s="65">
        <f t="shared" si="3"/>
        <v>0</v>
      </c>
      <c r="J91" s="65">
        <f t="shared" si="4"/>
        <v>0</v>
      </c>
      <c r="K91" s="65">
        <f t="shared" si="5"/>
        <v>34950</v>
      </c>
      <c r="L91"/>
      <c r="M91"/>
      <c r="N91"/>
    </row>
    <row r="92" spans="1:14" ht="15">
      <c r="A92" s="23" t="s">
        <v>324</v>
      </c>
      <c r="B92" s="23" t="s">
        <v>327</v>
      </c>
      <c r="C92" s="23" t="s">
        <v>333</v>
      </c>
      <c r="D92" s="24">
        <v>40997</v>
      </c>
      <c r="E92" s="23">
        <v>4700</v>
      </c>
      <c r="F92" s="23">
        <v>31</v>
      </c>
      <c r="G92" s="23">
        <v>2</v>
      </c>
      <c r="H92" s="23">
        <v>750</v>
      </c>
      <c r="I92" s="65">
        <f t="shared" si="3"/>
        <v>0</v>
      </c>
      <c r="J92" s="65">
        <f t="shared" si="4"/>
        <v>9400</v>
      </c>
      <c r="K92" s="65">
        <f t="shared" si="5"/>
        <v>137050</v>
      </c>
      <c r="L92"/>
      <c r="M92"/>
      <c r="N92"/>
    </row>
    <row r="93" spans="1:14" ht="15">
      <c r="A93" s="23" t="s">
        <v>362</v>
      </c>
      <c r="B93" s="23" t="s">
        <v>336</v>
      </c>
      <c r="C93" s="23" t="s">
        <v>337</v>
      </c>
      <c r="D93" s="24">
        <v>40997</v>
      </c>
      <c r="E93" s="23">
        <v>1900</v>
      </c>
      <c r="F93" s="23">
        <v>12</v>
      </c>
      <c r="G93" s="23">
        <v>4</v>
      </c>
      <c r="H93" s="23">
        <v>1000</v>
      </c>
      <c r="I93" s="65">
        <f t="shared" si="3"/>
        <v>0</v>
      </c>
      <c r="J93" s="65">
        <f t="shared" si="4"/>
        <v>7600</v>
      </c>
      <c r="K93" s="65">
        <f t="shared" si="5"/>
        <v>16200</v>
      </c>
      <c r="L93"/>
      <c r="M93"/>
      <c r="N93"/>
    </row>
    <row r="94" spans="1:14" ht="15">
      <c r="A94" s="23" t="s">
        <v>343</v>
      </c>
      <c r="B94" s="23" t="s">
        <v>329</v>
      </c>
      <c r="C94" s="23" t="s">
        <v>337</v>
      </c>
      <c r="D94" s="24">
        <v>40998</v>
      </c>
      <c r="E94" s="23">
        <v>1300</v>
      </c>
      <c r="F94" s="23">
        <v>28</v>
      </c>
      <c r="G94" s="23">
        <v>4</v>
      </c>
      <c r="H94" s="23">
        <v>750</v>
      </c>
      <c r="I94" s="65">
        <f t="shared" si="3"/>
        <v>0</v>
      </c>
      <c r="J94" s="65">
        <f t="shared" si="4"/>
        <v>5200</v>
      </c>
      <c r="K94" s="65">
        <f t="shared" si="5"/>
        <v>31950</v>
      </c>
      <c r="L94"/>
      <c r="M94"/>
      <c r="N94"/>
    </row>
    <row r="95" spans="1:14" ht="15">
      <c r="A95" s="23" t="s">
        <v>326</v>
      </c>
      <c r="B95" s="23" t="s">
        <v>328</v>
      </c>
      <c r="C95" s="23" t="s">
        <v>337</v>
      </c>
      <c r="D95" s="24">
        <v>41000</v>
      </c>
      <c r="E95" s="23">
        <v>4200</v>
      </c>
      <c r="F95" s="23">
        <v>48</v>
      </c>
      <c r="G95" s="23">
        <v>3</v>
      </c>
      <c r="H95" s="23">
        <v>0</v>
      </c>
      <c r="I95" s="65">
        <f t="shared" si="3"/>
        <v>0</v>
      </c>
      <c r="J95" s="65">
        <f t="shared" si="4"/>
        <v>12600</v>
      </c>
      <c r="K95" s="65">
        <f t="shared" si="5"/>
        <v>189000</v>
      </c>
      <c r="L95"/>
      <c r="M95"/>
      <c r="N95"/>
    </row>
    <row r="96" spans="1:14" ht="15">
      <c r="A96" s="23" t="s">
        <v>343</v>
      </c>
      <c r="B96" s="23" t="s">
        <v>332</v>
      </c>
      <c r="C96" s="23" t="s">
        <v>355</v>
      </c>
      <c r="D96" s="24">
        <v>41000</v>
      </c>
      <c r="E96" s="23">
        <v>1650</v>
      </c>
      <c r="F96" s="23">
        <v>42</v>
      </c>
      <c r="G96" s="23">
        <v>2</v>
      </c>
      <c r="H96" s="23">
        <v>0</v>
      </c>
      <c r="I96" s="65">
        <f t="shared" si="3"/>
        <v>0</v>
      </c>
      <c r="J96" s="65">
        <f t="shared" si="4"/>
        <v>3300</v>
      </c>
      <c r="K96" s="65">
        <f t="shared" si="5"/>
        <v>66000</v>
      </c>
      <c r="L96"/>
      <c r="M96"/>
      <c r="N96"/>
    </row>
    <row r="97" spans="1:14" ht="15">
      <c r="A97" s="23" t="s">
        <v>330</v>
      </c>
      <c r="B97" s="23" t="s">
        <v>339</v>
      </c>
      <c r="C97" s="23" t="s">
        <v>355</v>
      </c>
      <c r="D97" s="24">
        <v>41001</v>
      </c>
      <c r="E97" s="23">
        <v>2700</v>
      </c>
      <c r="F97" s="23">
        <v>38</v>
      </c>
      <c r="G97" s="23">
        <v>4</v>
      </c>
      <c r="H97" s="23">
        <v>750</v>
      </c>
      <c r="I97" s="65">
        <f t="shared" si="3"/>
        <v>0</v>
      </c>
      <c r="J97" s="65">
        <f t="shared" si="4"/>
        <v>10800</v>
      </c>
      <c r="K97" s="65">
        <f t="shared" si="5"/>
        <v>92550</v>
      </c>
      <c r="L97"/>
      <c r="M97"/>
      <c r="N97"/>
    </row>
    <row r="98" spans="1:14" ht="15">
      <c r="A98" s="23" t="s">
        <v>324</v>
      </c>
      <c r="B98" s="23" t="s">
        <v>344</v>
      </c>
      <c r="C98" s="23" t="s">
        <v>353</v>
      </c>
      <c r="D98" s="24">
        <v>41001</v>
      </c>
      <c r="E98" s="23">
        <v>4450</v>
      </c>
      <c r="F98" s="23">
        <v>50</v>
      </c>
      <c r="G98" s="23">
        <v>2</v>
      </c>
      <c r="H98" s="23">
        <v>0</v>
      </c>
      <c r="I98" s="65">
        <f t="shared" si="3"/>
        <v>0</v>
      </c>
      <c r="J98" s="65">
        <f t="shared" si="4"/>
        <v>8900</v>
      </c>
      <c r="K98" s="65">
        <f t="shared" si="5"/>
        <v>213600</v>
      </c>
      <c r="L98"/>
      <c r="M98"/>
      <c r="N98"/>
    </row>
    <row r="99" spans="1:14" ht="15">
      <c r="A99" s="23" t="s">
        <v>326</v>
      </c>
      <c r="B99" s="23" t="s">
        <v>334</v>
      </c>
      <c r="C99" s="23" t="s">
        <v>352</v>
      </c>
      <c r="D99" s="24">
        <v>41002</v>
      </c>
      <c r="E99" s="23">
        <v>4350</v>
      </c>
      <c r="F99" s="23">
        <v>21</v>
      </c>
      <c r="G99" s="23">
        <v>3</v>
      </c>
      <c r="H99" s="23">
        <v>750</v>
      </c>
      <c r="I99" s="65">
        <f t="shared" si="3"/>
        <v>0</v>
      </c>
      <c r="J99" s="65">
        <f t="shared" si="4"/>
        <v>13050</v>
      </c>
      <c r="K99" s="65">
        <f t="shared" si="5"/>
        <v>79050</v>
      </c>
      <c r="L99"/>
      <c r="M99"/>
      <c r="N99"/>
    </row>
    <row r="100" spans="1:14" ht="15">
      <c r="A100" s="23" t="s">
        <v>330</v>
      </c>
      <c r="B100" s="23" t="s">
        <v>336</v>
      </c>
      <c r="C100" s="23" t="s">
        <v>333</v>
      </c>
      <c r="D100" s="24">
        <v>41003</v>
      </c>
      <c r="E100" s="23">
        <v>1800</v>
      </c>
      <c r="F100" s="23">
        <v>13</v>
      </c>
      <c r="G100" s="23">
        <v>3</v>
      </c>
      <c r="H100" s="23">
        <v>1000</v>
      </c>
      <c r="I100" s="65">
        <f t="shared" si="3"/>
        <v>0</v>
      </c>
      <c r="J100" s="65">
        <f t="shared" si="4"/>
        <v>5400</v>
      </c>
      <c r="K100" s="65">
        <f t="shared" si="5"/>
        <v>19000</v>
      </c>
      <c r="L100"/>
      <c r="M100"/>
      <c r="N100"/>
    </row>
    <row r="101" spans="1:14" ht="15">
      <c r="A101" s="23" t="s">
        <v>330</v>
      </c>
      <c r="B101" s="23" t="s">
        <v>334</v>
      </c>
      <c r="C101" s="23" t="s">
        <v>333</v>
      </c>
      <c r="D101" s="24">
        <v>41004</v>
      </c>
      <c r="E101" s="23">
        <v>2090</v>
      </c>
      <c r="F101" s="23">
        <v>24</v>
      </c>
      <c r="G101" s="23">
        <v>2</v>
      </c>
      <c r="H101" s="23">
        <v>750</v>
      </c>
      <c r="I101" s="65">
        <f t="shared" si="3"/>
        <v>0</v>
      </c>
      <c r="J101" s="65">
        <f t="shared" si="4"/>
        <v>4180</v>
      </c>
      <c r="K101" s="65">
        <f t="shared" si="5"/>
        <v>46730</v>
      </c>
      <c r="L101"/>
      <c r="M101"/>
      <c r="N101"/>
    </row>
    <row r="102" spans="1:14" ht="15">
      <c r="A102" s="23" t="s">
        <v>340</v>
      </c>
      <c r="B102" s="23" t="s">
        <v>335</v>
      </c>
      <c r="C102" s="23" t="s">
        <v>337</v>
      </c>
      <c r="D102" s="24">
        <v>41005</v>
      </c>
      <c r="E102" s="23">
        <v>1120</v>
      </c>
      <c r="F102" s="23">
        <v>39</v>
      </c>
      <c r="G102" s="23">
        <v>0</v>
      </c>
      <c r="H102" s="23">
        <v>750</v>
      </c>
      <c r="I102" s="65">
        <f t="shared" si="3"/>
        <v>0</v>
      </c>
      <c r="J102" s="65">
        <f t="shared" si="4"/>
        <v>0</v>
      </c>
      <c r="K102" s="65">
        <f t="shared" si="5"/>
        <v>44430</v>
      </c>
      <c r="L102"/>
      <c r="M102"/>
      <c r="N102"/>
    </row>
    <row r="103" spans="1:14" ht="15">
      <c r="A103" s="23" t="s">
        <v>330</v>
      </c>
      <c r="B103" s="23" t="s">
        <v>336</v>
      </c>
      <c r="C103" s="23" t="s">
        <v>354</v>
      </c>
      <c r="D103" s="24">
        <v>41005</v>
      </c>
      <c r="E103" s="23">
        <v>1800</v>
      </c>
      <c r="F103" s="23">
        <v>11</v>
      </c>
      <c r="G103" s="23">
        <v>1</v>
      </c>
      <c r="H103" s="23">
        <v>1000</v>
      </c>
      <c r="I103" s="65">
        <f t="shared" si="3"/>
        <v>0</v>
      </c>
      <c r="J103" s="65">
        <f t="shared" si="4"/>
        <v>1800</v>
      </c>
      <c r="K103" s="65">
        <f t="shared" si="5"/>
        <v>19000</v>
      </c>
      <c r="L103"/>
      <c r="M103"/>
      <c r="N103"/>
    </row>
    <row r="104" spans="1:14" ht="15">
      <c r="A104" s="23" t="s">
        <v>324</v>
      </c>
      <c r="B104" s="23" t="s">
        <v>342</v>
      </c>
      <c r="C104" s="23" t="s">
        <v>337</v>
      </c>
      <c r="D104" s="24">
        <v>41005</v>
      </c>
      <c r="E104" s="23">
        <v>3820</v>
      </c>
      <c r="F104" s="23">
        <v>20</v>
      </c>
      <c r="G104" s="23">
        <v>0</v>
      </c>
      <c r="H104" s="23">
        <v>750</v>
      </c>
      <c r="I104" s="65">
        <f t="shared" si="3"/>
        <v>0</v>
      </c>
      <c r="J104" s="65">
        <f t="shared" si="4"/>
        <v>0</v>
      </c>
      <c r="K104" s="65">
        <f t="shared" si="5"/>
        <v>77150</v>
      </c>
      <c r="L104"/>
      <c r="M104"/>
      <c r="N104"/>
    </row>
    <row r="105" spans="1:14" ht="15">
      <c r="A105" s="23" t="s">
        <v>341</v>
      </c>
      <c r="B105" s="23" t="s">
        <v>339</v>
      </c>
      <c r="C105" s="23" t="s">
        <v>353</v>
      </c>
      <c r="D105" s="24">
        <v>41007</v>
      </c>
      <c r="E105" s="23">
        <v>4600</v>
      </c>
      <c r="F105" s="23">
        <v>24</v>
      </c>
      <c r="G105" s="23">
        <v>3</v>
      </c>
      <c r="H105" s="23">
        <v>750</v>
      </c>
      <c r="I105" s="65">
        <f t="shared" si="3"/>
        <v>0</v>
      </c>
      <c r="J105" s="65">
        <f t="shared" si="4"/>
        <v>13800</v>
      </c>
      <c r="K105" s="65">
        <f t="shared" si="5"/>
        <v>97350</v>
      </c>
      <c r="L105"/>
      <c r="M105"/>
      <c r="N105"/>
    </row>
    <row r="106" spans="1:14" ht="15">
      <c r="A106" s="23" t="s">
        <v>331</v>
      </c>
      <c r="B106" s="23" t="s">
        <v>335</v>
      </c>
      <c r="C106" s="23" t="s">
        <v>353</v>
      </c>
      <c r="D106" s="24">
        <v>41007</v>
      </c>
      <c r="E106" s="23">
        <v>1950</v>
      </c>
      <c r="F106" s="23">
        <v>32</v>
      </c>
      <c r="G106" s="23">
        <v>3</v>
      </c>
      <c r="H106" s="23">
        <v>750</v>
      </c>
      <c r="I106" s="65">
        <f t="shared" si="3"/>
        <v>0</v>
      </c>
      <c r="J106" s="65">
        <f t="shared" si="4"/>
        <v>5850</v>
      </c>
      <c r="K106" s="65">
        <f t="shared" si="5"/>
        <v>57300</v>
      </c>
      <c r="L106"/>
      <c r="M106"/>
      <c r="N106"/>
    </row>
    <row r="107" spans="1:14" ht="15">
      <c r="A107" s="23" t="s">
        <v>324</v>
      </c>
      <c r="B107" s="23" t="s">
        <v>342</v>
      </c>
      <c r="C107" s="23" t="s">
        <v>354</v>
      </c>
      <c r="D107" s="24">
        <v>41008</v>
      </c>
      <c r="E107" s="23">
        <v>3800</v>
      </c>
      <c r="F107" s="23">
        <v>40</v>
      </c>
      <c r="G107" s="23">
        <v>3</v>
      </c>
      <c r="H107" s="23">
        <v>750</v>
      </c>
      <c r="I107" s="65">
        <f t="shared" si="3"/>
        <v>0</v>
      </c>
      <c r="J107" s="65">
        <f t="shared" si="4"/>
        <v>11400</v>
      </c>
      <c r="K107" s="65">
        <f t="shared" si="5"/>
        <v>141350</v>
      </c>
      <c r="L107"/>
      <c r="M107"/>
      <c r="N107"/>
    </row>
    <row r="108" spans="1:14" ht="15">
      <c r="A108" s="23" t="s">
        <v>362</v>
      </c>
      <c r="B108" s="23" t="s">
        <v>328</v>
      </c>
      <c r="C108" s="23" t="s">
        <v>353</v>
      </c>
      <c r="D108" s="24">
        <v>41008</v>
      </c>
      <c r="E108" s="23">
        <v>3190</v>
      </c>
      <c r="F108" s="23">
        <v>23</v>
      </c>
      <c r="G108" s="23">
        <v>1</v>
      </c>
      <c r="H108" s="23">
        <v>750</v>
      </c>
      <c r="I108" s="65">
        <f t="shared" si="3"/>
        <v>0</v>
      </c>
      <c r="J108" s="65">
        <f t="shared" si="4"/>
        <v>3190</v>
      </c>
      <c r="K108" s="65">
        <f t="shared" si="5"/>
        <v>70930</v>
      </c>
      <c r="L108"/>
      <c r="M108"/>
      <c r="N108"/>
    </row>
    <row r="109" spans="1:14" ht="15">
      <c r="A109" s="23" t="s">
        <v>338</v>
      </c>
      <c r="B109" s="23" t="s">
        <v>339</v>
      </c>
      <c r="C109" s="23" t="s">
        <v>337</v>
      </c>
      <c r="D109" s="24">
        <v>41009</v>
      </c>
      <c r="E109" s="23">
        <v>1250</v>
      </c>
      <c r="F109" s="23">
        <v>29</v>
      </c>
      <c r="G109" s="23">
        <v>4</v>
      </c>
      <c r="H109" s="23">
        <v>750</v>
      </c>
      <c r="I109" s="65">
        <f t="shared" si="3"/>
        <v>0</v>
      </c>
      <c r="J109" s="65">
        <f t="shared" si="4"/>
        <v>5000</v>
      </c>
      <c r="K109" s="65">
        <f t="shared" si="5"/>
        <v>32000</v>
      </c>
      <c r="L109"/>
      <c r="M109"/>
      <c r="N109"/>
    </row>
    <row r="110" spans="1:14" ht="15">
      <c r="A110" s="23" t="s">
        <v>341</v>
      </c>
      <c r="B110" s="23" t="s">
        <v>332</v>
      </c>
      <c r="C110" s="23" t="s">
        <v>337</v>
      </c>
      <c r="D110" s="24">
        <v>41009</v>
      </c>
      <c r="E110" s="23">
        <v>5500</v>
      </c>
      <c r="F110" s="23">
        <v>20</v>
      </c>
      <c r="G110" s="23">
        <v>4</v>
      </c>
      <c r="H110" s="23">
        <v>750</v>
      </c>
      <c r="I110" s="65">
        <f t="shared" si="3"/>
        <v>0</v>
      </c>
      <c r="J110" s="65">
        <f t="shared" si="4"/>
        <v>22000</v>
      </c>
      <c r="K110" s="65">
        <f t="shared" si="5"/>
        <v>88750</v>
      </c>
      <c r="L110"/>
      <c r="M110"/>
      <c r="N110"/>
    </row>
    <row r="111" spans="1:14" ht="15">
      <c r="A111" s="23" t="s">
        <v>363</v>
      </c>
      <c r="B111" s="23" t="s">
        <v>339</v>
      </c>
      <c r="C111" s="23" t="s">
        <v>353</v>
      </c>
      <c r="D111" s="24">
        <v>41011</v>
      </c>
      <c r="E111" s="23">
        <v>1200</v>
      </c>
      <c r="F111" s="23">
        <v>44</v>
      </c>
      <c r="G111" s="23">
        <v>2</v>
      </c>
      <c r="H111" s="23">
        <v>0</v>
      </c>
      <c r="I111" s="65">
        <f t="shared" si="3"/>
        <v>0</v>
      </c>
      <c r="J111" s="65">
        <f t="shared" si="4"/>
        <v>2400</v>
      </c>
      <c r="K111" s="65">
        <f t="shared" si="5"/>
        <v>50400</v>
      </c>
      <c r="L111"/>
      <c r="M111"/>
      <c r="N111"/>
    </row>
    <row r="112" spans="1:14" ht="15">
      <c r="A112" s="23" t="s">
        <v>326</v>
      </c>
      <c r="B112" s="23" t="s">
        <v>332</v>
      </c>
      <c r="C112" s="23" t="s">
        <v>353</v>
      </c>
      <c r="D112" s="24">
        <v>41012</v>
      </c>
      <c r="E112" s="23">
        <v>2850</v>
      </c>
      <c r="F112" s="23">
        <v>48</v>
      </c>
      <c r="G112" s="23">
        <v>1</v>
      </c>
      <c r="H112" s="23">
        <v>0</v>
      </c>
      <c r="I112" s="65">
        <f t="shared" si="3"/>
        <v>0</v>
      </c>
      <c r="J112" s="65">
        <f t="shared" si="4"/>
        <v>2850</v>
      </c>
      <c r="K112" s="65">
        <f t="shared" si="5"/>
        <v>133950</v>
      </c>
      <c r="L112"/>
      <c r="M112"/>
      <c r="N112"/>
    </row>
    <row r="113" spans="1:14" ht="15">
      <c r="A113" s="23" t="s">
        <v>343</v>
      </c>
      <c r="B113" s="23" t="s">
        <v>336</v>
      </c>
      <c r="C113" s="23" t="s">
        <v>354</v>
      </c>
      <c r="D113" s="24">
        <v>41012</v>
      </c>
      <c r="E113" s="23">
        <v>1700</v>
      </c>
      <c r="F113" s="23">
        <v>45</v>
      </c>
      <c r="G113" s="23">
        <v>2</v>
      </c>
      <c r="H113" s="23">
        <v>0</v>
      </c>
      <c r="I113" s="65">
        <f t="shared" si="3"/>
        <v>0</v>
      </c>
      <c r="J113" s="65">
        <f t="shared" si="4"/>
        <v>3400</v>
      </c>
      <c r="K113" s="65">
        <f t="shared" si="5"/>
        <v>73100</v>
      </c>
      <c r="L113"/>
      <c r="M113"/>
      <c r="N113"/>
    </row>
    <row r="114" spans="1:14" ht="15">
      <c r="A114" s="23" t="s">
        <v>340</v>
      </c>
      <c r="B114" s="23" t="s">
        <v>336</v>
      </c>
      <c r="C114" s="23" t="s">
        <v>333</v>
      </c>
      <c r="D114" s="24">
        <v>41013</v>
      </c>
      <c r="E114" s="23">
        <v>1200</v>
      </c>
      <c r="F114" s="23">
        <v>44</v>
      </c>
      <c r="G114" s="23">
        <v>3</v>
      </c>
      <c r="H114" s="23">
        <v>0</v>
      </c>
      <c r="I114" s="65">
        <f t="shared" si="3"/>
        <v>0</v>
      </c>
      <c r="J114" s="65">
        <f t="shared" si="4"/>
        <v>3600</v>
      </c>
      <c r="K114" s="65">
        <f t="shared" si="5"/>
        <v>49200</v>
      </c>
      <c r="L114"/>
      <c r="M114"/>
      <c r="N114"/>
    </row>
    <row r="115" spans="1:14" ht="15">
      <c r="A115" s="23" t="s">
        <v>343</v>
      </c>
      <c r="B115" s="23" t="s">
        <v>334</v>
      </c>
      <c r="C115" s="23" t="s">
        <v>333</v>
      </c>
      <c r="D115" s="24">
        <v>41014</v>
      </c>
      <c r="E115" s="23">
        <v>1400</v>
      </c>
      <c r="F115" s="23">
        <v>12</v>
      </c>
      <c r="G115" s="23">
        <v>1</v>
      </c>
      <c r="H115" s="23">
        <v>1000</v>
      </c>
      <c r="I115" s="65">
        <f t="shared" si="3"/>
        <v>0</v>
      </c>
      <c r="J115" s="65">
        <f t="shared" si="4"/>
        <v>1400</v>
      </c>
      <c r="K115" s="65">
        <f t="shared" si="5"/>
        <v>16400</v>
      </c>
      <c r="L115"/>
      <c r="M115"/>
      <c r="N115"/>
    </row>
    <row r="116" spans="1:14" ht="15">
      <c r="A116" s="23" t="s">
        <v>331</v>
      </c>
      <c r="B116" s="23" t="s">
        <v>328</v>
      </c>
      <c r="C116" s="23" t="s">
        <v>355</v>
      </c>
      <c r="D116" s="24">
        <v>41015</v>
      </c>
      <c r="E116" s="23">
        <v>900</v>
      </c>
      <c r="F116" s="23">
        <v>34</v>
      </c>
      <c r="G116" s="23">
        <v>1</v>
      </c>
      <c r="H116" s="23">
        <v>750</v>
      </c>
      <c r="I116" s="65">
        <f t="shared" si="3"/>
        <v>0</v>
      </c>
      <c r="J116" s="65">
        <f t="shared" si="4"/>
        <v>900</v>
      </c>
      <c r="K116" s="65">
        <f t="shared" si="5"/>
        <v>30450</v>
      </c>
      <c r="L116"/>
      <c r="M116"/>
      <c r="N116"/>
    </row>
    <row r="117" spans="1:14" ht="15">
      <c r="A117" s="23" t="s">
        <v>343</v>
      </c>
      <c r="B117" s="23" t="s">
        <v>334</v>
      </c>
      <c r="C117" s="23" t="s">
        <v>352</v>
      </c>
      <c r="D117" s="24">
        <v>41016</v>
      </c>
      <c r="E117" s="23">
        <v>1380</v>
      </c>
      <c r="F117" s="23">
        <v>14</v>
      </c>
      <c r="G117" s="23">
        <v>1</v>
      </c>
      <c r="H117" s="23">
        <v>1000</v>
      </c>
      <c r="I117" s="65">
        <f t="shared" si="3"/>
        <v>0</v>
      </c>
      <c r="J117" s="65">
        <f t="shared" si="4"/>
        <v>1380</v>
      </c>
      <c r="K117" s="65">
        <f t="shared" si="5"/>
        <v>18940</v>
      </c>
      <c r="L117"/>
      <c r="M117"/>
      <c r="N117"/>
    </row>
    <row r="118" spans="1:14" ht="15">
      <c r="A118" s="23" t="s">
        <v>341</v>
      </c>
      <c r="B118" s="23" t="s">
        <v>339</v>
      </c>
      <c r="C118" s="23" t="s">
        <v>337</v>
      </c>
      <c r="D118" s="24">
        <v>41017</v>
      </c>
      <c r="E118" s="23">
        <v>4550</v>
      </c>
      <c r="F118" s="23">
        <v>26</v>
      </c>
      <c r="G118" s="23">
        <v>3</v>
      </c>
      <c r="H118" s="23">
        <v>750</v>
      </c>
      <c r="I118" s="65">
        <f t="shared" si="3"/>
        <v>0</v>
      </c>
      <c r="J118" s="65">
        <f t="shared" si="4"/>
        <v>13650</v>
      </c>
      <c r="K118" s="65">
        <f t="shared" si="5"/>
        <v>105400</v>
      </c>
      <c r="L118"/>
      <c r="M118"/>
      <c r="N118"/>
    </row>
    <row r="119" spans="1:14" ht="15">
      <c r="A119" s="23" t="s">
        <v>363</v>
      </c>
      <c r="B119" s="23" t="s">
        <v>329</v>
      </c>
      <c r="C119" s="23" t="s">
        <v>354</v>
      </c>
      <c r="D119" s="24">
        <v>41018</v>
      </c>
      <c r="E119" s="23">
        <v>2500</v>
      </c>
      <c r="F119" s="23">
        <v>25</v>
      </c>
      <c r="G119" s="23">
        <v>0</v>
      </c>
      <c r="H119" s="23">
        <v>750</v>
      </c>
      <c r="I119" s="65">
        <f t="shared" si="3"/>
        <v>0</v>
      </c>
      <c r="J119" s="65">
        <f t="shared" si="4"/>
        <v>0</v>
      </c>
      <c r="K119" s="65">
        <f t="shared" si="5"/>
        <v>63250</v>
      </c>
      <c r="L119"/>
      <c r="M119"/>
      <c r="N119"/>
    </row>
    <row r="120" spans="1:14" ht="15">
      <c r="A120" s="23" t="s">
        <v>326</v>
      </c>
      <c r="B120" s="23" t="s">
        <v>332</v>
      </c>
      <c r="C120" s="23" t="s">
        <v>352</v>
      </c>
      <c r="D120" s="24">
        <v>41018</v>
      </c>
      <c r="E120" s="23">
        <v>2850</v>
      </c>
      <c r="F120" s="23">
        <v>35</v>
      </c>
      <c r="G120" s="23">
        <v>2</v>
      </c>
      <c r="H120" s="23">
        <v>750</v>
      </c>
      <c r="I120" s="65">
        <f t="shared" si="3"/>
        <v>0</v>
      </c>
      <c r="J120" s="65">
        <f t="shared" si="4"/>
        <v>5700</v>
      </c>
      <c r="K120" s="65">
        <f t="shared" si="5"/>
        <v>94800</v>
      </c>
      <c r="L120"/>
      <c r="M120"/>
      <c r="N120"/>
    </row>
    <row r="121" spans="1:14" ht="15">
      <c r="A121" s="23" t="s">
        <v>363</v>
      </c>
      <c r="B121" s="23" t="s">
        <v>328</v>
      </c>
      <c r="C121" s="23" t="s">
        <v>337</v>
      </c>
      <c r="D121" s="24">
        <v>41020</v>
      </c>
      <c r="E121" s="23">
        <v>850</v>
      </c>
      <c r="F121" s="23">
        <v>26</v>
      </c>
      <c r="G121" s="23">
        <v>0</v>
      </c>
      <c r="H121" s="23">
        <v>750</v>
      </c>
      <c r="I121" s="65">
        <f t="shared" si="3"/>
        <v>0</v>
      </c>
      <c r="J121" s="65">
        <f t="shared" si="4"/>
        <v>0</v>
      </c>
      <c r="K121" s="65">
        <f t="shared" si="5"/>
        <v>22850</v>
      </c>
      <c r="L121"/>
      <c r="M121"/>
      <c r="N121"/>
    </row>
    <row r="122" spans="1:14" ht="15">
      <c r="A122" s="23" t="s">
        <v>326</v>
      </c>
      <c r="B122" s="23" t="s">
        <v>327</v>
      </c>
      <c r="C122" s="23" t="s">
        <v>337</v>
      </c>
      <c r="D122" s="24">
        <v>41020</v>
      </c>
      <c r="E122" s="23">
        <v>3900</v>
      </c>
      <c r="F122" s="23">
        <v>27</v>
      </c>
      <c r="G122" s="23">
        <v>3</v>
      </c>
      <c r="H122" s="23">
        <v>750</v>
      </c>
      <c r="I122" s="65">
        <f t="shared" si="3"/>
        <v>0</v>
      </c>
      <c r="J122" s="65">
        <f t="shared" si="4"/>
        <v>11700</v>
      </c>
      <c r="K122" s="65">
        <f t="shared" si="5"/>
        <v>94350</v>
      </c>
      <c r="L122"/>
      <c r="M122"/>
      <c r="N122"/>
    </row>
    <row r="123" spans="1:14" ht="15">
      <c r="A123" s="23" t="s">
        <v>343</v>
      </c>
      <c r="B123" s="23" t="s">
        <v>329</v>
      </c>
      <c r="C123" s="23" t="s">
        <v>355</v>
      </c>
      <c r="D123" s="24">
        <v>41020</v>
      </c>
      <c r="E123" s="23">
        <v>1280</v>
      </c>
      <c r="F123" s="23">
        <v>42</v>
      </c>
      <c r="G123" s="23">
        <v>0</v>
      </c>
      <c r="H123" s="23">
        <v>0</v>
      </c>
      <c r="I123" s="65">
        <f t="shared" si="3"/>
        <v>0</v>
      </c>
      <c r="J123" s="65">
        <f t="shared" si="4"/>
        <v>0</v>
      </c>
      <c r="K123" s="65">
        <f t="shared" si="5"/>
        <v>53760</v>
      </c>
      <c r="L123"/>
      <c r="M123"/>
      <c r="N123"/>
    </row>
    <row r="124" spans="1:14" ht="15">
      <c r="A124" s="23" t="s">
        <v>330</v>
      </c>
      <c r="B124" s="23" t="s">
        <v>334</v>
      </c>
      <c r="C124" s="23" t="s">
        <v>353</v>
      </c>
      <c r="D124" s="24">
        <v>41021</v>
      </c>
      <c r="E124" s="23">
        <v>2150</v>
      </c>
      <c r="F124" s="23">
        <v>18</v>
      </c>
      <c r="G124" s="23">
        <v>4</v>
      </c>
      <c r="H124" s="23">
        <v>1000</v>
      </c>
      <c r="I124" s="65">
        <f t="shared" si="3"/>
        <v>0</v>
      </c>
      <c r="J124" s="65">
        <f t="shared" si="4"/>
        <v>8600</v>
      </c>
      <c r="K124" s="65">
        <f t="shared" si="5"/>
        <v>31100</v>
      </c>
      <c r="L124"/>
      <c r="M124"/>
      <c r="N124"/>
    </row>
    <row r="125" spans="1:14" ht="15">
      <c r="A125" s="23" t="s">
        <v>341</v>
      </c>
      <c r="B125" s="23" t="s">
        <v>329</v>
      </c>
      <c r="C125" s="23" t="s">
        <v>337</v>
      </c>
      <c r="D125" s="24">
        <v>41022</v>
      </c>
      <c r="E125" s="23">
        <v>10110</v>
      </c>
      <c r="F125" s="23">
        <v>39</v>
      </c>
      <c r="G125" s="23">
        <v>4</v>
      </c>
      <c r="H125" s="23">
        <v>750</v>
      </c>
      <c r="I125" s="65">
        <f t="shared" si="3"/>
        <v>0</v>
      </c>
      <c r="J125" s="65">
        <f t="shared" si="4"/>
        <v>40440</v>
      </c>
      <c r="K125" s="65">
        <f t="shared" si="5"/>
        <v>354600</v>
      </c>
      <c r="L125"/>
      <c r="M125"/>
      <c r="N125"/>
    </row>
    <row r="126" spans="1:14" ht="15">
      <c r="A126" s="23" t="s">
        <v>362</v>
      </c>
      <c r="B126" s="23" t="s">
        <v>328</v>
      </c>
      <c r="C126" s="23" t="s">
        <v>352</v>
      </c>
      <c r="D126" s="24">
        <v>41022</v>
      </c>
      <c r="E126" s="23">
        <v>3160</v>
      </c>
      <c r="F126" s="23">
        <v>46</v>
      </c>
      <c r="G126" s="23">
        <v>1</v>
      </c>
      <c r="H126" s="23">
        <v>0</v>
      </c>
      <c r="I126" s="65">
        <f t="shared" si="3"/>
        <v>0</v>
      </c>
      <c r="J126" s="65">
        <f t="shared" si="4"/>
        <v>3160</v>
      </c>
      <c r="K126" s="65">
        <f t="shared" si="5"/>
        <v>142200</v>
      </c>
      <c r="L126"/>
      <c r="M126"/>
      <c r="N126"/>
    </row>
    <row r="127" spans="1:14" ht="15">
      <c r="A127" s="23" t="s">
        <v>341</v>
      </c>
      <c r="B127" s="23" t="s">
        <v>332</v>
      </c>
      <c r="C127" s="23" t="s">
        <v>355</v>
      </c>
      <c r="D127" s="24">
        <v>41023</v>
      </c>
      <c r="E127" s="23">
        <v>5490</v>
      </c>
      <c r="F127" s="23">
        <v>17</v>
      </c>
      <c r="G127" s="23">
        <v>2</v>
      </c>
      <c r="H127" s="23">
        <v>1000</v>
      </c>
      <c r="I127" s="65">
        <f t="shared" si="3"/>
        <v>0</v>
      </c>
      <c r="J127" s="65">
        <f t="shared" si="4"/>
        <v>10980</v>
      </c>
      <c r="K127" s="65">
        <f t="shared" si="5"/>
        <v>83350</v>
      </c>
      <c r="L127"/>
      <c r="M127"/>
      <c r="N127"/>
    </row>
    <row r="128" spans="1:14" ht="15">
      <c r="A128" s="23" t="s">
        <v>362</v>
      </c>
      <c r="B128" s="23" t="s">
        <v>339</v>
      </c>
      <c r="C128" s="23" t="s">
        <v>352</v>
      </c>
      <c r="D128" s="24">
        <v>41023</v>
      </c>
      <c r="E128" s="23">
        <v>3150</v>
      </c>
      <c r="F128" s="23">
        <v>39</v>
      </c>
      <c r="G128" s="23">
        <v>0</v>
      </c>
      <c r="H128" s="23">
        <v>750</v>
      </c>
      <c r="I128" s="65">
        <f t="shared" si="3"/>
        <v>0</v>
      </c>
      <c r="J128" s="65">
        <f t="shared" si="4"/>
        <v>0</v>
      </c>
      <c r="K128" s="65">
        <f t="shared" si="5"/>
        <v>123600</v>
      </c>
      <c r="L128"/>
      <c r="M128"/>
      <c r="N128"/>
    </row>
    <row r="129" spans="1:14" ht="15">
      <c r="A129" s="23" t="s">
        <v>338</v>
      </c>
      <c r="B129" s="23" t="s">
        <v>335</v>
      </c>
      <c r="C129" s="23" t="s">
        <v>337</v>
      </c>
      <c r="D129" s="24">
        <v>41024</v>
      </c>
      <c r="E129" s="23">
        <v>3400</v>
      </c>
      <c r="F129" s="23">
        <v>17</v>
      </c>
      <c r="G129" s="23">
        <v>2</v>
      </c>
      <c r="H129" s="23">
        <v>1000</v>
      </c>
      <c r="I129" s="65">
        <f t="shared" si="3"/>
        <v>0</v>
      </c>
      <c r="J129" s="65">
        <f t="shared" si="4"/>
        <v>6800</v>
      </c>
      <c r="K129" s="65">
        <f t="shared" si="5"/>
        <v>52000</v>
      </c>
      <c r="L129"/>
      <c r="M129"/>
      <c r="N129"/>
    </row>
    <row r="130" spans="1:14" ht="15">
      <c r="A130" s="23" t="s">
        <v>363</v>
      </c>
      <c r="B130" s="23" t="s">
        <v>328</v>
      </c>
      <c r="C130" s="23" t="s">
        <v>352</v>
      </c>
      <c r="D130" s="24">
        <v>41024</v>
      </c>
      <c r="E130" s="23">
        <v>890</v>
      </c>
      <c r="F130" s="23">
        <v>44</v>
      </c>
      <c r="G130" s="23">
        <v>1</v>
      </c>
      <c r="H130" s="23">
        <v>0</v>
      </c>
      <c r="I130" s="65">
        <f t="shared" si="3"/>
        <v>0</v>
      </c>
      <c r="J130" s="65">
        <f t="shared" si="4"/>
        <v>890</v>
      </c>
      <c r="K130" s="65">
        <f t="shared" si="5"/>
        <v>38270</v>
      </c>
      <c r="L130"/>
      <c r="M130"/>
      <c r="N130"/>
    </row>
    <row r="131" spans="1:14" ht="15">
      <c r="A131" s="23" t="s">
        <v>324</v>
      </c>
      <c r="B131" s="23" t="s">
        <v>344</v>
      </c>
      <c r="C131" s="23" t="s">
        <v>355</v>
      </c>
      <c r="D131" s="24">
        <v>41026</v>
      </c>
      <c r="E131" s="23">
        <v>4500</v>
      </c>
      <c r="F131" s="23">
        <v>33</v>
      </c>
      <c r="G131" s="23">
        <v>3</v>
      </c>
      <c r="H131" s="23">
        <v>750</v>
      </c>
      <c r="I131" s="65">
        <f t="shared" si="3"/>
        <v>0</v>
      </c>
      <c r="J131" s="65">
        <f t="shared" si="4"/>
        <v>13500</v>
      </c>
      <c r="K131" s="65">
        <f t="shared" si="5"/>
        <v>135750</v>
      </c>
      <c r="L131"/>
      <c r="M131"/>
      <c r="N131"/>
    </row>
    <row r="132" spans="1:14" ht="15">
      <c r="A132" s="23" t="s">
        <v>338</v>
      </c>
      <c r="B132" s="23" t="s">
        <v>339</v>
      </c>
      <c r="C132" s="23" t="s">
        <v>355</v>
      </c>
      <c r="D132" s="24">
        <v>41029</v>
      </c>
      <c r="E132" s="23">
        <v>1280</v>
      </c>
      <c r="F132" s="23">
        <v>14</v>
      </c>
      <c r="G132" s="23">
        <v>0</v>
      </c>
      <c r="H132" s="23">
        <v>1000</v>
      </c>
      <c r="I132" s="65">
        <f t="shared" si="3"/>
        <v>0</v>
      </c>
      <c r="J132" s="65">
        <f t="shared" si="4"/>
        <v>0</v>
      </c>
      <c r="K132" s="65">
        <f t="shared" si="5"/>
        <v>18920</v>
      </c>
      <c r="L132"/>
      <c r="M132"/>
      <c r="N132"/>
    </row>
    <row r="133" spans="1:14" ht="15">
      <c r="A133" s="23" t="s">
        <v>330</v>
      </c>
      <c r="B133" s="23" t="s">
        <v>332</v>
      </c>
      <c r="C133" s="23" t="s">
        <v>353</v>
      </c>
      <c r="D133" s="24">
        <v>41030</v>
      </c>
      <c r="E133" s="23">
        <v>2540</v>
      </c>
      <c r="F133" s="23">
        <v>48</v>
      </c>
      <c r="G133" s="23">
        <v>4</v>
      </c>
      <c r="H133" s="23">
        <v>0</v>
      </c>
      <c r="I133" s="65">
        <f t="shared" si="3"/>
        <v>0</v>
      </c>
      <c r="J133" s="65">
        <f t="shared" si="4"/>
        <v>10160</v>
      </c>
      <c r="K133" s="65">
        <f t="shared" si="5"/>
        <v>111760</v>
      </c>
      <c r="L133"/>
      <c r="M133"/>
      <c r="N133"/>
    </row>
    <row r="134" spans="1:14" ht="15">
      <c r="A134" s="23" t="s">
        <v>343</v>
      </c>
      <c r="B134" s="23" t="s">
        <v>329</v>
      </c>
      <c r="C134" s="23" t="s">
        <v>333</v>
      </c>
      <c r="D134" s="24">
        <v>41033</v>
      </c>
      <c r="E134" s="23">
        <v>1200</v>
      </c>
      <c r="F134" s="23">
        <v>23</v>
      </c>
      <c r="G134" s="23">
        <v>2</v>
      </c>
      <c r="H134" s="23">
        <v>750</v>
      </c>
      <c r="I134" s="65">
        <f t="shared" si="3"/>
        <v>0</v>
      </c>
      <c r="J134" s="65">
        <f t="shared" si="4"/>
        <v>2400</v>
      </c>
      <c r="K134" s="65">
        <f t="shared" si="5"/>
        <v>25950</v>
      </c>
      <c r="L134"/>
      <c r="M134"/>
      <c r="N134"/>
    </row>
    <row r="135" spans="1:14" ht="15">
      <c r="A135" s="23" t="s">
        <v>340</v>
      </c>
      <c r="B135" s="23" t="s">
        <v>332</v>
      </c>
      <c r="C135" s="23" t="s">
        <v>333</v>
      </c>
      <c r="D135" s="24">
        <v>41034</v>
      </c>
      <c r="E135" s="23">
        <v>800</v>
      </c>
      <c r="F135" s="23">
        <v>44</v>
      </c>
      <c r="G135" s="23">
        <v>4</v>
      </c>
      <c r="H135" s="23">
        <v>0</v>
      </c>
      <c r="I135" s="65">
        <f t="shared" si="3"/>
        <v>0</v>
      </c>
      <c r="J135" s="65">
        <f t="shared" si="4"/>
        <v>3200</v>
      </c>
      <c r="K135" s="65">
        <f t="shared" si="5"/>
        <v>32000</v>
      </c>
      <c r="L135"/>
      <c r="M135"/>
      <c r="N135"/>
    </row>
    <row r="136" spans="1:14" ht="15">
      <c r="A136" s="23" t="s">
        <v>326</v>
      </c>
      <c r="B136" s="23" t="s">
        <v>335</v>
      </c>
      <c r="C136" s="23" t="s">
        <v>354</v>
      </c>
      <c r="D136" s="24">
        <v>41036</v>
      </c>
      <c r="E136" s="23">
        <v>2900</v>
      </c>
      <c r="F136" s="23">
        <v>42</v>
      </c>
      <c r="G136" s="23">
        <v>3</v>
      </c>
      <c r="H136" s="23">
        <v>0</v>
      </c>
      <c r="I136" s="65">
        <f t="shared" si="3"/>
        <v>0</v>
      </c>
      <c r="J136" s="65">
        <f t="shared" si="4"/>
        <v>8700</v>
      </c>
      <c r="K136" s="65">
        <f t="shared" si="5"/>
        <v>113100</v>
      </c>
      <c r="L136"/>
      <c r="M136"/>
      <c r="N136"/>
    </row>
    <row r="137" spans="1:14" ht="15">
      <c r="A137" s="23" t="s">
        <v>330</v>
      </c>
      <c r="B137" s="23" t="s">
        <v>336</v>
      </c>
      <c r="C137" s="23" t="s">
        <v>355</v>
      </c>
      <c r="D137" s="24">
        <v>41036</v>
      </c>
      <c r="E137" s="23">
        <v>1790</v>
      </c>
      <c r="F137" s="23">
        <v>24</v>
      </c>
      <c r="G137" s="23">
        <v>4</v>
      </c>
      <c r="H137" s="23">
        <v>750</v>
      </c>
      <c r="I137" s="65">
        <f t="shared" si="3"/>
        <v>0</v>
      </c>
      <c r="J137" s="65">
        <f t="shared" si="4"/>
        <v>7160</v>
      </c>
      <c r="K137" s="65">
        <f t="shared" si="5"/>
        <v>36550</v>
      </c>
      <c r="L137"/>
      <c r="M137"/>
      <c r="N137"/>
    </row>
    <row r="138" spans="1:14" ht="15">
      <c r="A138" s="23" t="s">
        <v>361</v>
      </c>
      <c r="B138" s="23" t="s">
        <v>328</v>
      </c>
      <c r="C138" s="23" t="s">
        <v>355</v>
      </c>
      <c r="D138" s="24">
        <v>41037</v>
      </c>
      <c r="E138" s="23">
        <v>1870</v>
      </c>
      <c r="F138" s="23">
        <v>20</v>
      </c>
      <c r="G138" s="23">
        <v>0</v>
      </c>
      <c r="H138" s="23">
        <v>750</v>
      </c>
      <c r="I138" s="65">
        <f t="shared" si="3"/>
        <v>0</v>
      </c>
      <c r="J138" s="65">
        <f t="shared" si="4"/>
        <v>0</v>
      </c>
      <c r="K138" s="65">
        <f t="shared" si="5"/>
        <v>38150</v>
      </c>
      <c r="L138"/>
      <c r="M138"/>
      <c r="N138"/>
    </row>
    <row r="139" spans="1:14" ht="15">
      <c r="A139" s="23" t="s">
        <v>330</v>
      </c>
      <c r="B139" s="23" t="s">
        <v>339</v>
      </c>
      <c r="C139" s="23" t="s">
        <v>337</v>
      </c>
      <c r="D139" s="24">
        <v>41038</v>
      </c>
      <c r="E139" s="23">
        <v>2700</v>
      </c>
      <c r="F139" s="23">
        <v>16</v>
      </c>
      <c r="G139" s="23">
        <v>1</v>
      </c>
      <c r="H139" s="23">
        <v>1000</v>
      </c>
      <c r="I139" s="65">
        <f t="shared" si="3"/>
        <v>0</v>
      </c>
      <c r="J139" s="65">
        <f t="shared" si="4"/>
        <v>2700</v>
      </c>
      <c r="K139" s="65">
        <f t="shared" si="5"/>
        <v>41500</v>
      </c>
      <c r="L139"/>
      <c r="M139"/>
      <c r="N139"/>
    </row>
    <row r="140" spans="1:14" ht="15">
      <c r="A140" s="23" t="s">
        <v>362</v>
      </c>
      <c r="B140" s="23" t="s">
        <v>332</v>
      </c>
      <c r="C140" s="23" t="s">
        <v>353</v>
      </c>
      <c r="D140" s="24">
        <v>41039</v>
      </c>
      <c r="E140" s="23">
        <v>2550</v>
      </c>
      <c r="F140" s="23">
        <v>21</v>
      </c>
      <c r="G140" s="23">
        <v>3</v>
      </c>
      <c r="H140" s="23">
        <v>750</v>
      </c>
      <c r="I140" s="65">
        <f t="shared" ref="I140:I203" si="6">IF(AND(C140="Легкість буття", E140&gt;4000, A140="Мясорубка", OR(B140="Kenwoodik", B140="Tefalka")), E140*0.05,
 IF(AND(C140="Смак Компані", B140="Kenwoodik", A140="Мясорубка"), E140*0.1,
 IF(AND(B140="Panasonika", E140&gt;4710), E140*0.04, 0)))</f>
        <v>0</v>
      </c>
      <c r="J140" s="65">
        <f t="shared" ref="J140:J203" si="7">E140 * G140</f>
        <v>7650</v>
      </c>
      <c r="K140" s="65">
        <f t="shared" ref="K140:K203" si="8">(E140 - I140) * (F140 - G140) + H140</f>
        <v>46650</v>
      </c>
      <c r="L140"/>
      <c r="M140"/>
      <c r="N140"/>
    </row>
    <row r="141" spans="1:14" ht="15">
      <c r="A141" s="23" t="s">
        <v>338</v>
      </c>
      <c r="B141" s="23" t="s">
        <v>335</v>
      </c>
      <c r="C141" s="23" t="s">
        <v>352</v>
      </c>
      <c r="D141" s="24">
        <v>41041</v>
      </c>
      <c r="E141" s="23">
        <v>3370</v>
      </c>
      <c r="F141" s="23">
        <v>33</v>
      </c>
      <c r="G141" s="23">
        <v>2</v>
      </c>
      <c r="H141" s="23">
        <v>750</v>
      </c>
      <c r="I141" s="65">
        <f t="shared" si="6"/>
        <v>0</v>
      </c>
      <c r="J141" s="65">
        <f t="shared" si="7"/>
        <v>6740</v>
      </c>
      <c r="K141" s="65">
        <f t="shared" si="8"/>
        <v>105220</v>
      </c>
      <c r="L141"/>
      <c r="M141"/>
      <c r="N141"/>
    </row>
    <row r="142" spans="1:14" ht="15">
      <c r="A142" s="23" t="s">
        <v>331</v>
      </c>
      <c r="B142" s="23" t="s">
        <v>335</v>
      </c>
      <c r="C142" s="23" t="s">
        <v>337</v>
      </c>
      <c r="D142" s="24">
        <v>41041</v>
      </c>
      <c r="E142" s="23">
        <v>1980</v>
      </c>
      <c r="F142" s="23">
        <v>35</v>
      </c>
      <c r="G142" s="23">
        <v>2</v>
      </c>
      <c r="H142" s="23">
        <v>750</v>
      </c>
      <c r="I142" s="65">
        <f t="shared" si="6"/>
        <v>0</v>
      </c>
      <c r="J142" s="65">
        <f t="shared" si="7"/>
        <v>3960</v>
      </c>
      <c r="K142" s="65">
        <f t="shared" si="8"/>
        <v>66090</v>
      </c>
      <c r="L142"/>
      <c r="M142"/>
      <c r="N142"/>
    </row>
    <row r="143" spans="1:14" ht="15">
      <c r="A143" s="23" t="s">
        <v>362</v>
      </c>
      <c r="B143" s="23" t="s">
        <v>328</v>
      </c>
      <c r="C143" s="23" t="s">
        <v>333</v>
      </c>
      <c r="D143" s="24">
        <v>41043</v>
      </c>
      <c r="E143" s="23">
        <v>3200</v>
      </c>
      <c r="F143" s="23">
        <v>27</v>
      </c>
      <c r="G143" s="23">
        <v>1</v>
      </c>
      <c r="H143" s="23">
        <v>750</v>
      </c>
      <c r="I143" s="65">
        <f t="shared" si="6"/>
        <v>0</v>
      </c>
      <c r="J143" s="65">
        <f t="shared" si="7"/>
        <v>3200</v>
      </c>
      <c r="K143" s="65">
        <f t="shared" si="8"/>
        <v>83950</v>
      </c>
      <c r="L143"/>
      <c r="M143"/>
      <c r="N143"/>
    </row>
    <row r="144" spans="1:14" ht="15">
      <c r="A144" s="23" t="s">
        <v>330</v>
      </c>
      <c r="B144" s="23" t="s">
        <v>334</v>
      </c>
      <c r="C144" s="23" t="s">
        <v>337</v>
      </c>
      <c r="D144" s="24">
        <v>41044</v>
      </c>
      <c r="E144" s="23">
        <v>2220</v>
      </c>
      <c r="F144" s="23">
        <v>32</v>
      </c>
      <c r="G144" s="23">
        <v>3</v>
      </c>
      <c r="H144" s="23">
        <v>750</v>
      </c>
      <c r="I144" s="65">
        <f t="shared" si="6"/>
        <v>0</v>
      </c>
      <c r="J144" s="65">
        <f t="shared" si="7"/>
        <v>6660</v>
      </c>
      <c r="K144" s="65">
        <f t="shared" si="8"/>
        <v>65130</v>
      </c>
      <c r="L144"/>
      <c r="M144"/>
      <c r="N144"/>
    </row>
    <row r="145" spans="1:14" ht="15">
      <c r="A145" s="23" t="s">
        <v>338</v>
      </c>
      <c r="B145" s="23" t="s">
        <v>329</v>
      </c>
      <c r="C145" s="23" t="s">
        <v>352</v>
      </c>
      <c r="D145" s="24">
        <v>41045</v>
      </c>
      <c r="E145" s="23">
        <v>2900</v>
      </c>
      <c r="F145" s="23">
        <v>36</v>
      </c>
      <c r="G145" s="23">
        <v>0</v>
      </c>
      <c r="H145" s="23">
        <v>750</v>
      </c>
      <c r="I145" s="65">
        <f t="shared" si="6"/>
        <v>0</v>
      </c>
      <c r="J145" s="65">
        <f t="shared" si="7"/>
        <v>0</v>
      </c>
      <c r="K145" s="65">
        <f t="shared" si="8"/>
        <v>105150</v>
      </c>
      <c r="L145"/>
      <c r="M145"/>
      <c r="N145"/>
    </row>
    <row r="146" spans="1:14" ht="15">
      <c r="A146" s="23" t="s">
        <v>326</v>
      </c>
      <c r="B146" s="23" t="s">
        <v>328</v>
      </c>
      <c r="C146" s="23" t="s">
        <v>333</v>
      </c>
      <c r="D146" s="24">
        <v>41046</v>
      </c>
      <c r="E146" s="23">
        <v>4210</v>
      </c>
      <c r="F146" s="23">
        <v>20</v>
      </c>
      <c r="G146" s="23">
        <v>4</v>
      </c>
      <c r="H146" s="23">
        <v>750</v>
      </c>
      <c r="I146" s="65">
        <f t="shared" si="6"/>
        <v>0</v>
      </c>
      <c r="J146" s="65">
        <f t="shared" si="7"/>
        <v>16840</v>
      </c>
      <c r="K146" s="65">
        <f t="shared" si="8"/>
        <v>68110</v>
      </c>
      <c r="L146"/>
      <c r="M146"/>
      <c r="N146"/>
    </row>
    <row r="147" spans="1:14" ht="15">
      <c r="A147" s="23" t="s">
        <v>362</v>
      </c>
      <c r="B147" s="23" t="s">
        <v>335</v>
      </c>
      <c r="C147" s="23" t="s">
        <v>352</v>
      </c>
      <c r="D147" s="24">
        <v>41046</v>
      </c>
      <c r="E147" s="23">
        <v>4800</v>
      </c>
      <c r="F147" s="23">
        <v>27</v>
      </c>
      <c r="G147" s="23">
        <v>4</v>
      </c>
      <c r="H147" s="23">
        <v>750</v>
      </c>
      <c r="I147" s="65">
        <f t="shared" si="6"/>
        <v>0</v>
      </c>
      <c r="J147" s="65">
        <f t="shared" si="7"/>
        <v>19200</v>
      </c>
      <c r="K147" s="65">
        <f t="shared" si="8"/>
        <v>111150</v>
      </c>
      <c r="L147"/>
      <c r="M147"/>
      <c r="N147"/>
    </row>
    <row r="148" spans="1:14" ht="15">
      <c r="A148" s="23" t="s">
        <v>361</v>
      </c>
      <c r="B148" s="23" t="s">
        <v>328</v>
      </c>
      <c r="C148" s="23" t="s">
        <v>352</v>
      </c>
      <c r="D148" s="24">
        <v>41047</v>
      </c>
      <c r="E148" s="23">
        <v>1850</v>
      </c>
      <c r="F148" s="23">
        <v>12</v>
      </c>
      <c r="G148" s="23">
        <v>1</v>
      </c>
      <c r="H148" s="23">
        <v>1000</v>
      </c>
      <c r="I148" s="65">
        <f t="shared" si="6"/>
        <v>0</v>
      </c>
      <c r="J148" s="65">
        <f t="shared" si="7"/>
        <v>1850</v>
      </c>
      <c r="K148" s="65">
        <f t="shared" si="8"/>
        <v>21350</v>
      </c>
      <c r="L148"/>
      <c r="M148"/>
      <c r="N148"/>
    </row>
    <row r="149" spans="1:14" ht="15">
      <c r="A149" s="23" t="s">
        <v>338</v>
      </c>
      <c r="B149" s="23" t="s">
        <v>332</v>
      </c>
      <c r="C149" s="23" t="s">
        <v>354</v>
      </c>
      <c r="D149" s="24">
        <v>41048</v>
      </c>
      <c r="E149" s="23">
        <v>1450</v>
      </c>
      <c r="F149" s="23">
        <v>14</v>
      </c>
      <c r="G149" s="23">
        <v>1</v>
      </c>
      <c r="H149" s="23">
        <v>1000</v>
      </c>
      <c r="I149" s="65">
        <f t="shared" si="6"/>
        <v>0</v>
      </c>
      <c r="J149" s="65">
        <f t="shared" si="7"/>
        <v>1450</v>
      </c>
      <c r="K149" s="65">
        <f t="shared" si="8"/>
        <v>19850</v>
      </c>
      <c r="L149"/>
      <c r="M149"/>
      <c r="N149"/>
    </row>
    <row r="150" spans="1:14" ht="15">
      <c r="A150" s="23" t="s">
        <v>330</v>
      </c>
      <c r="B150" s="23" t="s">
        <v>336</v>
      </c>
      <c r="C150" s="23" t="s">
        <v>352</v>
      </c>
      <c r="D150" s="24">
        <v>41049</v>
      </c>
      <c r="E150" s="23">
        <v>1790</v>
      </c>
      <c r="F150" s="23">
        <v>31</v>
      </c>
      <c r="G150" s="23">
        <v>1</v>
      </c>
      <c r="H150" s="23">
        <v>750</v>
      </c>
      <c r="I150" s="65">
        <f t="shared" si="6"/>
        <v>0</v>
      </c>
      <c r="J150" s="65">
        <f t="shared" si="7"/>
        <v>1790</v>
      </c>
      <c r="K150" s="65">
        <f t="shared" si="8"/>
        <v>54450</v>
      </c>
      <c r="L150"/>
      <c r="M150"/>
      <c r="N150"/>
    </row>
    <row r="151" spans="1:14" ht="15">
      <c r="A151" s="23" t="s">
        <v>340</v>
      </c>
      <c r="B151" s="23" t="s">
        <v>336</v>
      </c>
      <c r="C151" s="23" t="s">
        <v>352</v>
      </c>
      <c r="D151" s="24">
        <v>41050</v>
      </c>
      <c r="E151" s="23">
        <v>1200</v>
      </c>
      <c r="F151" s="23">
        <v>42</v>
      </c>
      <c r="G151" s="23">
        <v>2</v>
      </c>
      <c r="H151" s="23">
        <v>0</v>
      </c>
      <c r="I151" s="65">
        <f t="shared" si="6"/>
        <v>0</v>
      </c>
      <c r="J151" s="65">
        <f t="shared" si="7"/>
        <v>2400</v>
      </c>
      <c r="K151" s="65">
        <f t="shared" si="8"/>
        <v>48000</v>
      </c>
      <c r="L151"/>
      <c r="M151"/>
      <c r="N151"/>
    </row>
    <row r="152" spans="1:14" ht="15">
      <c r="A152" s="23" t="s">
        <v>326</v>
      </c>
      <c r="B152" s="23" t="s">
        <v>334</v>
      </c>
      <c r="C152" s="23" t="s">
        <v>333</v>
      </c>
      <c r="D152" s="24">
        <v>41051</v>
      </c>
      <c r="E152" s="23">
        <v>4350</v>
      </c>
      <c r="F152" s="23">
        <v>41</v>
      </c>
      <c r="G152" s="23">
        <v>2</v>
      </c>
      <c r="H152" s="23">
        <v>0</v>
      </c>
      <c r="I152" s="65">
        <f t="shared" si="6"/>
        <v>0</v>
      </c>
      <c r="J152" s="65">
        <f t="shared" si="7"/>
        <v>8700</v>
      </c>
      <c r="K152" s="65">
        <f t="shared" si="8"/>
        <v>169650</v>
      </c>
      <c r="L152"/>
      <c r="M152"/>
      <c r="N152"/>
    </row>
    <row r="153" spans="1:14" ht="15">
      <c r="A153" s="23" t="s">
        <v>324</v>
      </c>
      <c r="B153" s="23" t="s">
        <v>342</v>
      </c>
      <c r="C153" s="23" t="s">
        <v>353</v>
      </c>
      <c r="D153" s="24">
        <v>41051</v>
      </c>
      <c r="E153" s="23">
        <v>3750</v>
      </c>
      <c r="F153" s="23">
        <v>40</v>
      </c>
      <c r="G153" s="23">
        <v>0</v>
      </c>
      <c r="H153" s="23">
        <v>750</v>
      </c>
      <c r="I153" s="65">
        <f t="shared" si="6"/>
        <v>0</v>
      </c>
      <c r="J153" s="65">
        <f t="shared" si="7"/>
        <v>0</v>
      </c>
      <c r="K153" s="65">
        <f t="shared" si="8"/>
        <v>150750</v>
      </c>
      <c r="L153"/>
      <c r="M153"/>
      <c r="N153"/>
    </row>
    <row r="154" spans="1:14" ht="15">
      <c r="A154" s="23" t="s">
        <v>362</v>
      </c>
      <c r="B154" s="23" t="s">
        <v>328</v>
      </c>
      <c r="C154" s="23" t="s">
        <v>354</v>
      </c>
      <c r="D154" s="24">
        <v>41051</v>
      </c>
      <c r="E154" s="23">
        <v>3200</v>
      </c>
      <c r="F154" s="23">
        <v>47</v>
      </c>
      <c r="G154" s="23">
        <v>0</v>
      </c>
      <c r="H154" s="23">
        <v>0</v>
      </c>
      <c r="I154" s="65">
        <f t="shared" si="6"/>
        <v>0</v>
      </c>
      <c r="J154" s="65">
        <f t="shared" si="7"/>
        <v>0</v>
      </c>
      <c r="K154" s="65">
        <f t="shared" si="8"/>
        <v>150400</v>
      </c>
      <c r="L154"/>
      <c r="M154"/>
      <c r="N154"/>
    </row>
    <row r="155" spans="1:14" ht="15">
      <c r="A155" s="23" t="s">
        <v>338</v>
      </c>
      <c r="B155" s="23" t="s">
        <v>335</v>
      </c>
      <c r="C155" s="23" t="s">
        <v>354</v>
      </c>
      <c r="D155" s="24">
        <v>41053</v>
      </c>
      <c r="E155" s="23">
        <v>3350</v>
      </c>
      <c r="F155" s="23">
        <v>38</v>
      </c>
      <c r="G155" s="23">
        <v>3</v>
      </c>
      <c r="H155" s="23">
        <v>750</v>
      </c>
      <c r="I155" s="65">
        <f t="shared" si="6"/>
        <v>0</v>
      </c>
      <c r="J155" s="65">
        <f t="shared" si="7"/>
        <v>10050</v>
      </c>
      <c r="K155" s="65">
        <f t="shared" si="8"/>
        <v>118000</v>
      </c>
      <c r="L155"/>
      <c r="M155"/>
      <c r="N155"/>
    </row>
    <row r="156" spans="1:14" ht="15">
      <c r="A156" s="23" t="s">
        <v>362</v>
      </c>
      <c r="B156" s="23" t="s">
        <v>328</v>
      </c>
      <c r="C156" s="23" t="s">
        <v>337</v>
      </c>
      <c r="D156" s="24">
        <v>41054</v>
      </c>
      <c r="E156" s="23">
        <v>1400</v>
      </c>
      <c r="F156" s="23">
        <v>46</v>
      </c>
      <c r="G156" s="23">
        <v>4</v>
      </c>
      <c r="H156" s="23">
        <v>0</v>
      </c>
      <c r="I156" s="65">
        <f t="shared" si="6"/>
        <v>0</v>
      </c>
      <c r="J156" s="65">
        <f t="shared" si="7"/>
        <v>5600</v>
      </c>
      <c r="K156" s="65">
        <f t="shared" si="8"/>
        <v>58800</v>
      </c>
      <c r="L156"/>
      <c r="M156"/>
      <c r="N156"/>
    </row>
    <row r="157" spans="1:14" ht="15">
      <c r="A157" s="23" t="s">
        <v>362</v>
      </c>
      <c r="B157" s="23" t="s">
        <v>328</v>
      </c>
      <c r="C157" s="23" t="s">
        <v>337</v>
      </c>
      <c r="D157" s="24">
        <v>41056</v>
      </c>
      <c r="E157" s="23">
        <v>3200</v>
      </c>
      <c r="F157" s="23">
        <v>50</v>
      </c>
      <c r="G157" s="23">
        <v>4</v>
      </c>
      <c r="H157" s="23">
        <v>0</v>
      </c>
      <c r="I157" s="65">
        <f t="shared" si="6"/>
        <v>0</v>
      </c>
      <c r="J157" s="65">
        <f t="shared" si="7"/>
        <v>12800</v>
      </c>
      <c r="K157" s="65">
        <f t="shared" si="8"/>
        <v>147200</v>
      </c>
      <c r="L157"/>
      <c r="M157"/>
      <c r="N157"/>
    </row>
    <row r="158" spans="1:14" ht="15">
      <c r="A158" s="23" t="s">
        <v>341</v>
      </c>
      <c r="B158" s="23" t="s">
        <v>334</v>
      </c>
      <c r="C158" s="23" t="s">
        <v>352</v>
      </c>
      <c r="D158" s="24">
        <v>41057</v>
      </c>
      <c r="E158" s="23">
        <v>4590</v>
      </c>
      <c r="F158" s="23">
        <v>28</v>
      </c>
      <c r="G158" s="23">
        <v>2</v>
      </c>
      <c r="H158" s="23">
        <v>750</v>
      </c>
      <c r="I158" s="65">
        <f t="shared" si="6"/>
        <v>0</v>
      </c>
      <c r="J158" s="65">
        <f t="shared" si="7"/>
        <v>9180</v>
      </c>
      <c r="K158" s="65">
        <f t="shared" si="8"/>
        <v>120090</v>
      </c>
      <c r="L158"/>
      <c r="M158"/>
      <c r="N158"/>
    </row>
    <row r="159" spans="1:14" ht="15">
      <c r="A159" s="23" t="s">
        <v>340</v>
      </c>
      <c r="B159" s="23" t="s">
        <v>336</v>
      </c>
      <c r="C159" s="23" t="s">
        <v>354</v>
      </c>
      <c r="D159" s="24">
        <v>41058</v>
      </c>
      <c r="E159" s="23">
        <v>1200</v>
      </c>
      <c r="F159" s="23">
        <v>33</v>
      </c>
      <c r="G159" s="23">
        <v>3</v>
      </c>
      <c r="H159" s="23">
        <v>750</v>
      </c>
      <c r="I159" s="65">
        <f t="shared" si="6"/>
        <v>0</v>
      </c>
      <c r="J159" s="65">
        <f t="shared" si="7"/>
        <v>3600</v>
      </c>
      <c r="K159" s="65">
        <f t="shared" si="8"/>
        <v>36750</v>
      </c>
      <c r="L159"/>
      <c r="M159"/>
      <c r="N159"/>
    </row>
    <row r="160" spans="1:14" ht="15">
      <c r="A160" s="23" t="s">
        <v>338</v>
      </c>
      <c r="B160" s="23" t="s">
        <v>329</v>
      </c>
      <c r="C160" s="23" t="s">
        <v>333</v>
      </c>
      <c r="D160" s="24">
        <v>41060</v>
      </c>
      <c r="E160" s="23">
        <v>2920</v>
      </c>
      <c r="F160" s="23">
        <v>21</v>
      </c>
      <c r="G160" s="23">
        <v>1</v>
      </c>
      <c r="H160" s="23">
        <v>750</v>
      </c>
      <c r="I160" s="65">
        <f t="shared" si="6"/>
        <v>0</v>
      </c>
      <c r="J160" s="65">
        <f t="shared" si="7"/>
        <v>2920</v>
      </c>
      <c r="K160" s="65">
        <f t="shared" si="8"/>
        <v>59150</v>
      </c>
      <c r="L160"/>
      <c r="M160"/>
      <c r="N160"/>
    </row>
    <row r="161" spans="1:14" ht="15">
      <c r="A161" s="23" t="s">
        <v>324</v>
      </c>
      <c r="B161" s="23" t="s">
        <v>344</v>
      </c>
      <c r="C161" s="23" t="s">
        <v>354</v>
      </c>
      <c r="D161" s="24">
        <v>41061</v>
      </c>
      <c r="E161" s="23">
        <v>4550</v>
      </c>
      <c r="F161" s="23">
        <v>10</v>
      </c>
      <c r="G161" s="23">
        <v>1</v>
      </c>
      <c r="H161" s="23">
        <v>1000</v>
      </c>
      <c r="I161" s="65">
        <f t="shared" si="6"/>
        <v>0</v>
      </c>
      <c r="J161" s="65">
        <f t="shared" si="7"/>
        <v>4550</v>
      </c>
      <c r="K161" s="65">
        <f t="shared" si="8"/>
        <v>41950</v>
      </c>
      <c r="L161"/>
      <c r="M161"/>
      <c r="N161"/>
    </row>
    <row r="162" spans="1:14" ht="15">
      <c r="A162" s="23" t="s">
        <v>363</v>
      </c>
      <c r="B162" s="23" t="s">
        <v>339</v>
      </c>
      <c r="C162" s="23" t="s">
        <v>352</v>
      </c>
      <c r="D162" s="24">
        <v>41064</v>
      </c>
      <c r="E162" s="23">
        <v>1150</v>
      </c>
      <c r="F162" s="23">
        <v>13</v>
      </c>
      <c r="G162" s="23">
        <v>0</v>
      </c>
      <c r="H162" s="23">
        <v>1000</v>
      </c>
      <c r="I162" s="65">
        <f t="shared" si="6"/>
        <v>0</v>
      </c>
      <c r="J162" s="65">
        <f t="shared" si="7"/>
        <v>0</v>
      </c>
      <c r="K162" s="65">
        <f t="shared" si="8"/>
        <v>15950</v>
      </c>
      <c r="L162"/>
      <c r="M162"/>
      <c r="N162"/>
    </row>
    <row r="163" spans="1:14" ht="15">
      <c r="A163" s="23" t="s">
        <v>343</v>
      </c>
      <c r="B163" s="23" t="s">
        <v>334</v>
      </c>
      <c r="C163" s="23" t="s">
        <v>353</v>
      </c>
      <c r="D163" s="24">
        <v>41065</v>
      </c>
      <c r="E163" s="23">
        <v>1400</v>
      </c>
      <c r="F163" s="23">
        <v>39</v>
      </c>
      <c r="G163" s="23">
        <v>1</v>
      </c>
      <c r="H163" s="23">
        <v>750</v>
      </c>
      <c r="I163" s="65">
        <f t="shared" si="6"/>
        <v>0</v>
      </c>
      <c r="J163" s="65">
        <f t="shared" si="7"/>
        <v>1400</v>
      </c>
      <c r="K163" s="65">
        <f t="shared" si="8"/>
        <v>53950</v>
      </c>
      <c r="L163"/>
      <c r="M163"/>
      <c r="N163"/>
    </row>
    <row r="164" spans="1:14" ht="15">
      <c r="A164" s="23" t="s">
        <v>324</v>
      </c>
      <c r="B164" s="23" t="s">
        <v>327</v>
      </c>
      <c r="C164" s="23" t="s">
        <v>353</v>
      </c>
      <c r="D164" s="24">
        <v>41068</v>
      </c>
      <c r="E164" s="23">
        <v>4700</v>
      </c>
      <c r="F164" s="23">
        <v>43</v>
      </c>
      <c r="G164" s="23">
        <v>0</v>
      </c>
      <c r="H164" s="23">
        <v>0</v>
      </c>
      <c r="I164" s="65">
        <f t="shared" si="6"/>
        <v>0</v>
      </c>
      <c r="J164" s="65">
        <f t="shared" si="7"/>
        <v>0</v>
      </c>
      <c r="K164" s="65">
        <f t="shared" si="8"/>
        <v>202100</v>
      </c>
      <c r="L164"/>
      <c r="M164"/>
      <c r="N164"/>
    </row>
    <row r="165" spans="1:14" ht="15">
      <c r="A165" s="23" t="s">
        <v>343</v>
      </c>
      <c r="B165" s="23" t="s">
        <v>339</v>
      </c>
      <c r="C165" s="23" t="s">
        <v>337</v>
      </c>
      <c r="D165" s="24">
        <v>41071</v>
      </c>
      <c r="E165" s="23">
        <v>2100</v>
      </c>
      <c r="F165" s="23">
        <v>18</v>
      </c>
      <c r="G165" s="23">
        <v>4</v>
      </c>
      <c r="H165" s="23">
        <v>1000</v>
      </c>
      <c r="I165" s="65">
        <f t="shared" si="6"/>
        <v>0</v>
      </c>
      <c r="J165" s="65">
        <f t="shared" si="7"/>
        <v>8400</v>
      </c>
      <c r="K165" s="65">
        <f t="shared" si="8"/>
        <v>30400</v>
      </c>
      <c r="L165"/>
      <c r="M165"/>
      <c r="N165"/>
    </row>
    <row r="166" spans="1:14" ht="15">
      <c r="A166" s="23" t="s">
        <v>341</v>
      </c>
      <c r="B166" s="23" t="s">
        <v>339</v>
      </c>
      <c r="C166" s="23" t="s">
        <v>333</v>
      </c>
      <c r="D166" s="24">
        <v>41072</v>
      </c>
      <c r="E166" s="23">
        <v>4550</v>
      </c>
      <c r="F166" s="23">
        <v>19</v>
      </c>
      <c r="G166" s="23">
        <v>3</v>
      </c>
      <c r="H166" s="23">
        <v>1000</v>
      </c>
      <c r="I166" s="65">
        <f t="shared" si="6"/>
        <v>0</v>
      </c>
      <c r="J166" s="65">
        <f t="shared" si="7"/>
        <v>13650</v>
      </c>
      <c r="K166" s="65">
        <f t="shared" si="8"/>
        <v>73800</v>
      </c>
      <c r="L166"/>
      <c r="M166"/>
      <c r="N166"/>
    </row>
    <row r="167" spans="1:14" ht="15">
      <c r="A167" s="23" t="s">
        <v>330</v>
      </c>
      <c r="B167" s="23" t="s">
        <v>332</v>
      </c>
      <c r="C167" s="23" t="s">
        <v>355</v>
      </c>
      <c r="D167" s="24">
        <v>41073</v>
      </c>
      <c r="E167" s="23">
        <v>2540</v>
      </c>
      <c r="F167" s="23">
        <v>32</v>
      </c>
      <c r="G167" s="23">
        <v>4</v>
      </c>
      <c r="H167" s="23">
        <v>750</v>
      </c>
      <c r="I167" s="65">
        <f t="shared" si="6"/>
        <v>0</v>
      </c>
      <c r="J167" s="65">
        <f t="shared" si="7"/>
        <v>10160</v>
      </c>
      <c r="K167" s="65">
        <f t="shared" si="8"/>
        <v>71870</v>
      </c>
      <c r="L167"/>
      <c r="M167"/>
      <c r="N167"/>
    </row>
    <row r="168" spans="1:14" ht="15">
      <c r="A168" s="23" t="s">
        <v>330</v>
      </c>
      <c r="B168" s="23" t="s">
        <v>332</v>
      </c>
      <c r="C168" s="23" t="s">
        <v>337</v>
      </c>
      <c r="D168" s="24">
        <v>41073</v>
      </c>
      <c r="E168" s="23">
        <v>2600</v>
      </c>
      <c r="F168" s="23">
        <v>17</v>
      </c>
      <c r="G168" s="23">
        <v>2</v>
      </c>
      <c r="H168" s="23">
        <v>1000</v>
      </c>
      <c r="I168" s="65">
        <f t="shared" si="6"/>
        <v>0</v>
      </c>
      <c r="J168" s="65">
        <f t="shared" si="7"/>
        <v>5200</v>
      </c>
      <c r="K168" s="65">
        <f t="shared" si="8"/>
        <v>40000</v>
      </c>
      <c r="L168"/>
      <c r="M168"/>
      <c r="N168"/>
    </row>
    <row r="169" spans="1:14" ht="15">
      <c r="A169" s="23" t="s">
        <v>341</v>
      </c>
      <c r="B169" s="23" t="s">
        <v>329</v>
      </c>
      <c r="C169" s="23" t="s">
        <v>355</v>
      </c>
      <c r="D169" s="24">
        <v>41074</v>
      </c>
      <c r="E169" s="23">
        <v>10500</v>
      </c>
      <c r="F169" s="23">
        <v>49</v>
      </c>
      <c r="G169" s="23">
        <v>0</v>
      </c>
      <c r="H169" s="23">
        <v>0</v>
      </c>
      <c r="I169" s="65">
        <f t="shared" si="6"/>
        <v>0</v>
      </c>
      <c r="J169" s="65">
        <f t="shared" si="7"/>
        <v>0</v>
      </c>
      <c r="K169" s="65">
        <f t="shared" si="8"/>
        <v>514500</v>
      </c>
      <c r="L169"/>
      <c r="M169"/>
      <c r="N169"/>
    </row>
    <row r="170" spans="1:14" ht="15">
      <c r="A170" s="23" t="s">
        <v>343</v>
      </c>
      <c r="B170" s="23" t="s">
        <v>329</v>
      </c>
      <c r="C170" s="23" t="s">
        <v>354</v>
      </c>
      <c r="D170" s="24">
        <v>41074</v>
      </c>
      <c r="E170" s="23">
        <v>1200</v>
      </c>
      <c r="F170" s="23">
        <v>46</v>
      </c>
      <c r="G170" s="23">
        <v>2</v>
      </c>
      <c r="H170" s="23">
        <v>0</v>
      </c>
      <c r="I170" s="65">
        <f t="shared" si="6"/>
        <v>0</v>
      </c>
      <c r="J170" s="65">
        <f t="shared" si="7"/>
        <v>2400</v>
      </c>
      <c r="K170" s="65">
        <f t="shared" si="8"/>
        <v>52800</v>
      </c>
      <c r="L170"/>
      <c r="M170"/>
      <c r="N170"/>
    </row>
    <row r="171" spans="1:14" ht="15">
      <c r="A171" s="23" t="s">
        <v>340</v>
      </c>
      <c r="B171" s="23" t="s">
        <v>332</v>
      </c>
      <c r="C171" s="23" t="s">
        <v>353</v>
      </c>
      <c r="D171" s="24">
        <v>41075</v>
      </c>
      <c r="E171" s="23">
        <v>1000</v>
      </c>
      <c r="F171" s="23">
        <v>32</v>
      </c>
      <c r="G171" s="23">
        <v>4</v>
      </c>
      <c r="H171" s="23">
        <v>750</v>
      </c>
      <c r="I171" s="65">
        <f t="shared" si="6"/>
        <v>0</v>
      </c>
      <c r="J171" s="65">
        <f t="shared" si="7"/>
        <v>4000</v>
      </c>
      <c r="K171" s="65">
        <f t="shared" si="8"/>
        <v>28750</v>
      </c>
      <c r="L171"/>
      <c r="M171"/>
      <c r="N171"/>
    </row>
    <row r="172" spans="1:14" ht="15">
      <c r="A172" s="23" t="s">
        <v>331</v>
      </c>
      <c r="B172" s="23" t="s">
        <v>339</v>
      </c>
      <c r="C172" s="23" t="s">
        <v>333</v>
      </c>
      <c r="D172" s="24">
        <v>41075</v>
      </c>
      <c r="E172" s="23">
        <v>1800</v>
      </c>
      <c r="F172" s="23">
        <v>44</v>
      </c>
      <c r="G172" s="23">
        <v>0</v>
      </c>
      <c r="H172" s="23">
        <v>0</v>
      </c>
      <c r="I172" s="65">
        <f t="shared" si="6"/>
        <v>0</v>
      </c>
      <c r="J172" s="65">
        <f t="shared" si="7"/>
        <v>0</v>
      </c>
      <c r="K172" s="65">
        <f t="shared" si="8"/>
        <v>79200</v>
      </c>
      <c r="L172"/>
      <c r="M172"/>
      <c r="N172"/>
    </row>
    <row r="173" spans="1:14" ht="15">
      <c r="A173" s="23" t="s">
        <v>338</v>
      </c>
      <c r="B173" s="23" t="s">
        <v>329</v>
      </c>
      <c r="C173" s="23" t="s">
        <v>337</v>
      </c>
      <c r="D173" s="24">
        <v>41077</v>
      </c>
      <c r="E173" s="23">
        <v>2850</v>
      </c>
      <c r="F173" s="23">
        <v>21</v>
      </c>
      <c r="G173" s="23">
        <v>3</v>
      </c>
      <c r="H173" s="23">
        <v>750</v>
      </c>
      <c r="I173" s="65">
        <f t="shared" si="6"/>
        <v>0</v>
      </c>
      <c r="J173" s="65">
        <f t="shared" si="7"/>
        <v>8550</v>
      </c>
      <c r="K173" s="65">
        <f t="shared" si="8"/>
        <v>52050</v>
      </c>
      <c r="L173"/>
      <c r="M173"/>
      <c r="N173"/>
    </row>
    <row r="174" spans="1:14" ht="15">
      <c r="A174" s="23" t="s">
        <v>330</v>
      </c>
      <c r="B174" s="23" t="s">
        <v>329</v>
      </c>
      <c r="C174" s="23" t="s">
        <v>333</v>
      </c>
      <c r="D174" s="24">
        <v>41078</v>
      </c>
      <c r="E174" s="23">
        <v>2500</v>
      </c>
      <c r="F174" s="23">
        <v>49</v>
      </c>
      <c r="G174" s="23">
        <v>3</v>
      </c>
      <c r="H174" s="23">
        <v>0</v>
      </c>
      <c r="I174" s="65">
        <f t="shared" si="6"/>
        <v>0</v>
      </c>
      <c r="J174" s="65">
        <f t="shared" si="7"/>
        <v>7500</v>
      </c>
      <c r="K174" s="65">
        <f t="shared" si="8"/>
        <v>115000</v>
      </c>
      <c r="L174"/>
      <c r="M174"/>
      <c r="N174"/>
    </row>
    <row r="175" spans="1:14" ht="15">
      <c r="A175" s="23" t="s">
        <v>362</v>
      </c>
      <c r="B175" s="23" t="s">
        <v>332</v>
      </c>
      <c r="C175" s="23" t="s">
        <v>352</v>
      </c>
      <c r="D175" s="24">
        <v>41078</v>
      </c>
      <c r="E175" s="23">
        <v>2570</v>
      </c>
      <c r="F175" s="23">
        <v>23</v>
      </c>
      <c r="G175" s="23">
        <v>3</v>
      </c>
      <c r="H175" s="23">
        <v>750</v>
      </c>
      <c r="I175" s="65">
        <f t="shared" si="6"/>
        <v>0</v>
      </c>
      <c r="J175" s="65">
        <f t="shared" si="7"/>
        <v>7710</v>
      </c>
      <c r="K175" s="65">
        <f t="shared" si="8"/>
        <v>52150</v>
      </c>
      <c r="L175"/>
      <c r="M175"/>
      <c r="N175"/>
    </row>
    <row r="176" spans="1:14" ht="15">
      <c r="A176" s="23" t="s">
        <v>362</v>
      </c>
      <c r="B176" s="23" t="s">
        <v>334</v>
      </c>
      <c r="C176" s="23" t="s">
        <v>337</v>
      </c>
      <c r="D176" s="24">
        <v>41079</v>
      </c>
      <c r="E176" s="23">
        <v>2400</v>
      </c>
      <c r="F176" s="23">
        <v>22</v>
      </c>
      <c r="G176" s="23">
        <v>2</v>
      </c>
      <c r="H176" s="23">
        <v>750</v>
      </c>
      <c r="I176" s="65">
        <f t="shared" si="6"/>
        <v>0</v>
      </c>
      <c r="J176" s="65">
        <f t="shared" si="7"/>
        <v>4800</v>
      </c>
      <c r="K176" s="65">
        <f t="shared" si="8"/>
        <v>48750</v>
      </c>
      <c r="L176"/>
      <c r="M176"/>
      <c r="N176"/>
    </row>
    <row r="177" spans="1:14" ht="15">
      <c r="A177" s="23" t="s">
        <v>326</v>
      </c>
      <c r="B177" s="23" t="s">
        <v>329</v>
      </c>
      <c r="C177" s="23" t="s">
        <v>333</v>
      </c>
      <c r="D177" s="24">
        <v>41080</v>
      </c>
      <c r="E177" s="23">
        <v>4050</v>
      </c>
      <c r="F177" s="23">
        <v>17</v>
      </c>
      <c r="G177" s="23">
        <v>0</v>
      </c>
      <c r="H177" s="23">
        <v>1000</v>
      </c>
      <c r="I177" s="65">
        <f t="shared" si="6"/>
        <v>0</v>
      </c>
      <c r="J177" s="65">
        <f t="shared" si="7"/>
        <v>0</v>
      </c>
      <c r="K177" s="65">
        <f t="shared" si="8"/>
        <v>69850</v>
      </c>
      <c r="L177"/>
      <c r="M177"/>
      <c r="N177"/>
    </row>
    <row r="178" spans="1:14" ht="15">
      <c r="A178" s="23" t="s">
        <v>324</v>
      </c>
      <c r="B178" s="23" t="s">
        <v>325</v>
      </c>
      <c r="C178" s="23" t="s">
        <v>333</v>
      </c>
      <c r="D178" s="24">
        <v>41080</v>
      </c>
      <c r="E178" s="23">
        <v>2800</v>
      </c>
      <c r="F178" s="23">
        <v>46</v>
      </c>
      <c r="G178" s="23">
        <v>3</v>
      </c>
      <c r="H178" s="23">
        <v>0</v>
      </c>
      <c r="I178" s="65">
        <f t="shared" si="6"/>
        <v>0</v>
      </c>
      <c r="J178" s="65">
        <f t="shared" si="7"/>
        <v>8400</v>
      </c>
      <c r="K178" s="65">
        <f t="shared" si="8"/>
        <v>120400</v>
      </c>
      <c r="L178"/>
      <c r="M178"/>
      <c r="N178"/>
    </row>
    <row r="179" spans="1:14" ht="15">
      <c r="A179" s="23" t="s">
        <v>362</v>
      </c>
      <c r="B179" s="23" t="s">
        <v>329</v>
      </c>
      <c r="C179" s="23" t="s">
        <v>333</v>
      </c>
      <c r="D179" s="24">
        <v>41080</v>
      </c>
      <c r="E179" s="23">
        <v>3300</v>
      </c>
      <c r="F179" s="23">
        <v>34</v>
      </c>
      <c r="G179" s="23">
        <v>1</v>
      </c>
      <c r="H179" s="23">
        <v>750</v>
      </c>
      <c r="I179" s="65">
        <f t="shared" si="6"/>
        <v>0</v>
      </c>
      <c r="J179" s="65">
        <f t="shared" si="7"/>
        <v>3300</v>
      </c>
      <c r="K179" s="65">
        <f t="shared" si="8"/>
        <v>109650</v>
      </c>
      <c r="L179"/>
      <c r="M179"/>
      <c r="N179"/>
    </row>
    <row r="180" spans="1:14" ht="15">
      <c r="A180" s="23" t="s">
        <v>343</v>
      </c>
      <c r="B180" s="23" t="s">
        <v>328</v>
      </c>
      <c r="C180" s="23" t="s">
        <v>354</v>
      </c>
      <c r="D180" s="24">
        <v>41080</v>
      </c>
      <c r="E180" s="23">
        <v>1300</v>
      </c>
      <c r="F180" s="23">
        <v>17</v>
      </c>
      <c r="G180" s="23">
        <v>2</v>
      </c>
      <c r="H180" s="23">
        <v>1000</v>
      </c>
      <c r="I180" s="65">
        <f t="shared" si="6"/>
        <v>0</v>
      </c>
      <c r="J180" s="65">
        <f t="shared" si="7"/>
        <v>2600</v>
      </c>
      <c r="K180" s="65">
        <f t="shared" si="8"/>
        <v>20500</v>
      </c>
      <c r="L180"/>
      <c r="M180"/>
      <c r="N180"/>
    </row>
    <row r="181" spans="1:14" ht="15">
      <c r="A181" s="23" t="s">
        <v>363</v>
      </c>
      <c r="B181" s="23" t="s">
        <v>334</v>
      </c>
      <c r="C181" s="23" t="s">
        <v>352</v>
      </c>
      <c r="D181" s="24">
        <v>41083</v>
      </c>
      <c r="E181" s="23">
        <v>1560</v>
      </c>
      <c r="F181" s="23">
        <v>25</v>
      </c>
      <c r="G181" s="23">
        <v>3</v>
      </c>
      <c r="H181" s="23">
        <v>750</v>
      </c>
      <c r="I181" s="65">
        <f t="shared" si="6"/>
        <v>0</v>
      </c>
      <c r="J181" s="65">
        <f t="shared" si="7"/>
        <v>4680</v>
      </c>
      <c r="K181" s="65">
        <f t="shared" si="8"/>
        <v>35070</v>
      </c>
      <c r="L181"/>
      <c r="M181"/>
      <c r="N181"/>
    </row>
    <row r="182" spans="1:14" ht="15">
      <c r="A182" s="23" t="s">
        <v>330</v>
      </c>
      <c r="B182" s="23" t="s">
        <v>329</v>
      </c>
      <c r="C182" s="23" t="s">
        <v>355</v>
      </c>
      <c r="D182" s="24">
        <v>41083</v>
      </c>
      <c r="E182" s="23">
        <v>2560</v>
      </c>
      <c r="F182" s="23">
        <v>28</v>
      </c>
      <c r="G182" s="23">
        <v>1</v>
      </c>
      <c r="H182" s="23">
        <v>750</v>
      </c>
      <c r="I182" s="65">
        <f t="shared" si="6"/>
        <v>0</v>
      </c>
      <c r="J182" s="65">
        <f t="shared" si="7"/>
        <v>2560</v>
      </c>
      <c r="K182" s="65">
        <f t="shared" si="8"/>
        <v>69870</v>
      </c>
      <c r="L182"/>
      <c r="M182"/>
      <c r="N182"/>
    </row>
    <row r="183" spans="1:14" ht="15">
      <c r="A183" s="23" t="s">
        <v>338</v>
      </c>
      <c r="B183" s="23" t="s">
        <v>339</v>
      </c>
      <c r="C183" s="23" t="s">
        <v>333</v>
      </c>
      <c r="D183" s="24">
        <v>41084</v>
      </c>
      <c r="E183" s="23">
        <v>4500</v>
      </c>
      <c r="F183" s="23">
        <v>10</v>
      </c>
      <c r="G183" s="23">
        <v>0</v>
      </c>
      <c r="H183" s="23">
        <v>1000</v>
      </c>
      <c r="I183" s="65">
        <f t="shared" si="6"/>
        <v>0</v>
      </c>
      <c r="J183" s="65">
        <f t="shared" si="7"/>
        <v>0</v>
      </c>
      <c r="K183" s="65">
        <f t="shared" si="8"/>
        <v>46000</v>
      </c>
      <c r="L183"/>
      <c r="M183"/>
      <c r="N183"/>
    </row>
    <row r="184" spans="1:14" ht="15">
      <c r="A184" s="23" t="s">
        <v>341</v>
      </c>
      <c r="B184" s="23" t="s">
        <v>334</v>
      </c>
      <c r="C184" s="23" t="s">
        <v>353</v>
      </c>
      <c r="D184" s="24">
        <v>41088</v>
      </c>
      <c r="E184" s="23">
        <v>4590</v>
      </c>
      <c r="F184" s="23">
        <v>29</v>
      </c>
      <c r="G184" s="23">
        <v>4</v>
      </c>
      <c r="H184" s="23">
        <v>750</v>
      </c>
      <c r="I184" s="65">
        <f t="shared" si="6"/>
        <v>0</v>
      </c>
      <c r="J184" s="65">
        <f t="shared" si="7"/>
        <v>18360</v>
      </c>
      <c r="K184" s="65">
        <f t="shared" si="8"/>
        <v>115500</v>
      </c>
      <c r="L184"/>
      <c r="M184"/>
      <c r="N184"/>
    </row>
    <row r="185" spans="1:14" ht="15">
      <c r="A185" s="23" t="s">
        <v>331</v>
      </c>
      <c r="B185" s="23" t="s">
        <v>332</v>
      </c>
      <c r="C185" s="23" t="s">
        <v>355</v>
      </c>
      <c r="D185" s="24">
        <v>41088</v>
      </c>
      <c r="E185" s="23">
        <v>1100</v>
      </c>
      <c r="F185" s="23">
        <v>38</v>
      </c>
      <c r="G185" s="23">
        <v>4</v>
      </c>
      <c r="H185" s="23">
        <v>750</v>
      </c>
      <c r="I185" s="65">
        <f t="shared" si="6"/>
        <v>0</v>
      </c>
      <c r="J185" s="65">
        <f t="shared" si="7"/>
        <v>4400</v>
      </c>
      <c r="K185" s="65">
        <f t="shared" si="8"/>
        <v>38150</v>
      </c>
      <c r="L185"/>
      <c r="M185"/>
      <c r="N185"/>
    </row>
    <row r="186" spans="1:14" ht="15">
      <c r="A186" s="23" t="s">
        <v>326</v>
      </c>
      <c r="B186" s="23" t="s">
        <v>334</v>
      </c>
      <c r="C186" s="23" t="s">
        <v>355</v>
      </c>
      <c r="D186" s="24">
        <v>41090</v>
      </c>
      <c r="E186" s="23">
        <v>4350</v>
      </c>
      <c r="F186" s="23">
        <v>16</v>
      </c>
      <c r="G186" s="23">
        <v>4</v>
      </c>
      <c r="H186" s="23">
        <v>1000</v>
      </c>
      <c r="I186" s="65">
        <f t="shared" si="6"/>
        <v>0</v>
      </c>
      <c r="J186" s="65">
        <f t="shared" si="7"/>
        <v>17400</v>
      </c>
      <c r="K186" s="65">
        <f t="shared" si="8"/>
        <v>53200</v>
      </c>
      <c r="L186"/>
      <c r="M186"/>
      <c r="N186"/>
    </row>
    <row r="187" spans="1:14" ht="15">
      <c r="A187" s="23" t="s">
        <v>331</v>
      </c>
      <c r="B187" s="23" t="s">
        <v>332</v>
      </c>
      <c r="C187" s="23" t="s">
        <v>354</v>
      </c>
      <c r="D187" s="24">
        <v>41092</v>
      </c>
      <c r="E187" s="23">
        <v>1000</v>
      </c>
      <c r="F187" s="23">
        <v>37</v>
      </c>
      <c r="G187" s="23">
        <v>2</v>
      </c>
      <c r="H187" s="23">
        <v>750</v>
      </c>
      <c r="I187" s="65">
        <f t="shared" si="6"/>
        <v>0</v>
      </c>
      <c r="J187" s="65">
        <f t="shared" si="7"/>
        <v>2000</v>
      </c>
      <c r="K187" s="65">
        <f t="shared" si="8"/>
        <v>35750</v>
      </c>
      <c r="L187"/>
      <c r="M187"/>
      <c r="N187"/>
    </row>
    <row r="188" spans="1:14" ht="15">
      <c r="A188" s="23" t="s">
        <v>341</v>
      </c>
      <c r="B188" s="23" t="s">
        <v>329</v>
      </c>
      <c r="C188" s="23" t="s">
        <v>352</v>
      </c>
      <c r="D188" s="24">
        <v>41094</v>
      </c>
      <c r="E188" s="23">
        <v>10010</v>
      </c>
      <c r="F188" s="23">
        <v>14</v>
      </c>
      <c r="G188" s="23">
        <v>3</v>
      </c>
      <c r="H188" s="23">
        <v>1000</v>
      </c>
      <c r="I188" s="65">
        <f t="shared" si="6"/>
        <v>0</v>
      </c>
      <c r="J188" s="65">
        <f t="shared" si="7"/>
        <v>30030</v>
      </c>
      <c r="K188" s="65">
        <f t="shared" si="8"/>
        <v>111110</v>
      </c>
      <c r="L188"/>
      <c r="M188"/>
      <c r="N188"/>
    </row>
    <row r="189" spans="1:14" ht="15">
      <c r="A189" s="23" t="s">
        <v>326</v>
      </c>
      <c r="B189" s="23" t="s">
        <v>327</v>
      </c>
      <c r="C189" s="23" t="s">
        <v>354</v>
      </c>
      <c r="D189" s="24">
        <v>41094</v>
      </c>
      <c r="E189" s="23">
        <v>3900</v>
      </c>
      <c r="F189" s="23">
        <v>36</v>
      </c>
      <c r="G189" s="23">
        <v>1</v>
      </c>
      <c r="H189" s="23">
        <v>750</v>
      </c>
      <c r="I189" s="65">
        <f t="shared" si="6"/>
        <v>0</v>
      </c>
      <c r="J189" s="65">
        <f t="shared" si="7"/>
        <v>3900</v>
      </c>
      <c r="K189" s="65">
        <f t="shared" si="8"/>
        <v>137250</v>
      </c>
      <c r="L189"/>
      <c r="M189"/>
      <c r="N189"/>
    </row>
    <row r="190" spans="1:14" ht="15">
      <c r="A190" s="23" t="s">
        <v>340</v>
      </c>
      <c r="B190" s="23" t="s">
        <v>332</v>
      </c>
      <c r="C190" s="23" t="s">
        <v>337</v>
      </c>
      <c r="D190" s="24">
        <v>41095</v>
      </c>
      <c r="E190" s="23">
        <v>800</v>
      </c>
      <c r="F190" s="23">
        <v>12</v>
      </c>
      <c r="G190" s="23">
        <v>2</v>
      </c>
      <c r="H190" s="23">
        <v>1000</v>
      </c>
      <c r="I190" s="65">
        <f t="shared" si="6"/>
        <v>0</v>
      </c>
      <c r="J190" s="65">
        <f t="shared" si="7"/>
        <v>1600</v>
      </c>
      <c r="K190" s="65">
        <f t="shared" si="8"/>
        <v>9000</v>
      </c>
      <c r="L190"/>
      <c r="M190"/>
      <c r="N190"/>
    </row>
    <row r="191" spans="1:14" ht="15">
      <c r="A191" s="23" t="s">
        <v>343</v>
      </c>
      <c r="B191" s="23" t="s">
        <v>336</v>
      </c>
      <c r="C191" s="23" t="s">
        <v>352</v>
      </c>
      <c r="D191" s="24">
        <v>41097</v>
      </c>
      <c r="E191" s="23">
        <v>1700</v>
      </c>
      <c r="F191" s="23">
        <v>16</v>
      </c>
      <c r="G191" s="23">
        <v>2</v>
      </c>
      <c r="H191" s="23">
        <v>1000</v>
      </c>
      <c r="I191" s="65">
        <f t="shared" si="6"/>
        <v>0</v>
      </c>
      <c r="J191" s="65">
        <f t="shared" si="7"/>
        <v>3400</v>
      </c>
      <c r="K191" s="65">
        <f t="shared" si="8"/>
        <v>24800</v>
      </c>
      <c r="L191"/>
      <c r="M191"/>
      <c r="N191"/>
    </row>
    <row r="192" spans="1:14" ht="15">
      <c r="A192" s="23" t="s">
        <v>362</v>
      </c>
      <c r="B192" s="23" t="s">
        <v>336</v>
      </c>
      <c r="C192" s="23" t="s">
        <v>355</v>
      </c>
      <c r="D192" s="24">
        <v>41098</v>
      </c>
      <c r="E192" s="23">
        <v>1990</v>
      </c>
      <c r="F192" s="23">
        <v>38</v>
      </c>
      <c r="G192" s="23">
        <v>3</v>
      </c>
      <c r="H192" s="23">
        <v>750</v>
      </c>
      <c r="I192" s="65">
        <f t="shared" si="6"/>
        <v>0</v>
      </c>
      <c r="J192" s="65">
        <f t="shared" si="7"/>
        <v>5970</v>
      </c>
      <c r="K192" s="65">
        <f t="shared" si="8"/>
        <v>70400</v>
      </c>
      <c r="L192"/>
      <c r="M192"/>
      <c r="N192"/>
    </row>
    <row r="193" spans="1:14" ht="15">
      <c r="A193" s="23" t="s">
        <v>338</v>
      </c>
      <c r="B193" s="23" t="s">
        <v>329</v>
      </c>
      <c r="C193" s="23" t="s">
        <v>354</v>
      </c>
      <c r="D193" s="24">
        <v>41099</v>
      </c>
      <c r="E193" s="23">
        <v>2950</v>
      </c>
      <c r="F193" s="23">
        <v>38</v>
      </c>
      <c r="G193" s="23">
        <v>0</v>
      </c>
      <c r="H193" s="23">
        <v>750</v>
      </c>
      <c r="I193" s="65">
        <f t="shared" si="6"/>
        <v>0</v>
      </c>
      <c r="J193" s="65">
        <f t="shared" si="7"/>
        <v>0</v>
      </c>
      <c r="K193" s="65">
        <f t="shared" si="8"/>
        <v>112850</v>
      </c>
      <c r="L193"/>
      <c r="M193"/>
      <c r="N193"/>
    </row>
    <row r="194" spans="1:14" ht="15">
      <c r="A194" s="23" t="s">
        <v>362</v>
      </c>
      <c r="B194" s="23" t="s">
        <v>334</v>
      </c>
      <c r="C194" s="23" t="s">
        <v>355</v>
      </c>
      <c r="D194" s="24">
        <v>41101</v>
      </c>
      <c r="E194" s="23">
        <v>2360</v>
      </c>
      <c r="F194" s="23">
        <v>25</v>
      </c>
      <c r="G194" s="23">
        <v>2</v>
      </c>
      <c r="H194" s="23">
        <v>750</v>
      </c>
      <c r="I194" s="65">
        <f t="shared" si="6"/>
        <v>0</v>
      </c>
      <c r="J194" s="65">
        <f t="shared" si="7"/>
        <v>4720</v>
      </c>
      <c r="K194" s="65">
        <f t="shared" si="8"/>
        <v>55030</v>
      </c>
      <c r="L194"/>
      <c r="M194"/>
      <c r="N194"/>
    </row>
    <row r="195" spans="1:14" ht="15">
      <c r="A195" s="23" t="s">
        <v>326</v>
      </c>
      <c r="B195" s="23" t="s">
        <v>332</v>
      </c>
      <c r="C195" s="23" t="s">
        <v>354</v>
      </c>
      <c r="D195" s="24">
        <v>41103</v>
      </c>
      <c r="E195" s="23">
        <v>2850</v>
      </c>
      <c r="F195" s="23">
        <v>19</v>
      </c>
      <c r="G195" s="23">
        <v>1</v>
      </c>
      <c r="H195" s="23">
        <v>1000</v>
      </c>
      <c r="I195" s="65">
        <f t="shared" si="6"/>
        <v>0</v>
      </c>
      <c r="J195" s="65">
        <f t="shared" si="7"/>
        <v>2850</v>
      </c>
      <c r="K195" s="65">
        <f t="shared" si="8"/>
        <v>52300</v>
      </c>
      <c r="L195"/>
      <c r="M195"/>
      <c r="N195"/>
    </row>
    <row r="196" spans="1:14" ht="15">
      <c r="A196" s="23" t="s">
        <v>363</v>
      </c>
      <c r="B196" s="23" t="s">
        <v>336</v>
      </c>
      <c r="C196" s="23" t="s">
        <v>333</v>
      </c>
      <c r="D196" s="24">
        <v>41104</v>
      </c>
      <c r="E196" s="23">
        <v>2000</v>
      </c>
      <c r="F196" s="23">
        <v>14</v>
      </c>
      <c r="G196" s="23">
        <v>4</v>
      </c>
      <c r="H196" s="23">
        <v>1000</v>
      </c>
      <c r="I196" s="65">
        <f t="shared" si="6"/>
        <v>0</v>
      </c>
      <c r="J196" s="65">
        <f t="shared" si="7"/>
        <v>8000</v>
      </c>
      <c r="K196" s="65">
        <f t="shared" si="8"/>
        <v>21000</v>
      </c>
      <c r="L196"/>
      <c r="M196"/>
      <c r="N196"/>
    </row>
    <row r="197" spans="1:14" ht="15">
      <c r="A197" s="23" t="s">
        <v>341</v>
      </c>
      <c r="B197" s="23" t="s">
        <v>334</v>
      </c>
      <c r="C197" s="23" t="s">
        <v>354</v>
      </c>
      <c r="D197" s="24">
        <v>41108</v>
      </c>
      <c r="E197" s="23">
        <v>4600</v>
      </c>
      <c r="F197" s="23">
        <v>46</v>
      </c>
      <c r="G197" s="23">
        <v>1</v>
      </c>
      <c r="H197" s="23">
        <v>0</v>
      </c>
      <c r="I197" s="65">
        <f t="shared" si="6"/>
        <v>0</v>
      </c>
      <c r="J197" s="65">
        <f t="shared" si="7"/>
        <v>4600</v>
      </c>
      <c r="K197" s="65">
        <f t="shared" si="8"/>
        <v>207000</v>
      </c>
      <c r="L197"/>
      <c r="M197"/>
      <c r="N197"/>
    </row>
    <row r="198" spans="1:14" ht="15">
      <c r="A198" s="23" t="s">
        <v>331</v>
      </c>
      <c r="B198" s="23" t="s">
        <v>328</v>
      </c>
      <c r="C198" s="23" t="s">
        <v>353</v>
      </c>
      <c r="D198" s="24">
        <v>41111</v>
      </c>
      <c r="E198" s="23">
        <v>900</v>
      </c>
      <c r="F198" s="23">
        <v>39</v>
      </c>
      <c r="G198" s="23">
        <v>4</v>
      </c>
      <c r="H198" s="23">
        <v>750</v>
      </c>
      <c r="I198" s="65">
        <f t="shared" si="6"/>
        <v>0</v>
      </c>
      <c r="J198" s="65">
        <f t="shared" si="7"/>
        <v>3600</v>
      </c>
      <c r="K198" s="65">
        <f t="shared" si="8"/>
        <v>32250</v>
      </c>
      <c r="L198"/>
      <c r="M198"/>
      <c r="N198"/>
    </row>
    <row r="199" spans="1:14" ht="15">
      <c r="A199" s="23" t="s">
        <v>331</v>
      </c>
      <c r="B199" s="23" t="s">
        <v>328</v>
      </c>
      <c r="C199" s="23" t="s">
        <v>354</v>
      </c>
      <c r="D199" s="24">
        <v>41112</v>
      </c>
      <c r="E199" s="23">
        <v>1000</v>
      </c>
      <c r="F199" s="23">
        <v>42</v>
      </c>
      <c r="G199" s="23">
        <v>1</v>
      </c>
      <c r="H199" s="23">
        <v>0</v>
      </c>
      <c r="I199" s="65">
        <f t="shared" si="6"/>
        <v>0</v>
      </c>
      <c r="J199" s="65">
        <f t="shared" si="7"/>
        <v>1000</v>
      </c>
      <c r="K199" s="65">
        <f t="shared" si="8"/>
        <v>41000</v>
      </c>
      <c r="L199"/>
      <c r="M199"/>
      <c r="N199"/>
    </row>
    <row r="200" spans="1:14" ht="15">
      <c r="A200" s="23" t="s">
        <v>363</v>
      </c>
      <c r="B200" s="23" t="s">
        <v>334</v>
      </c>
      <c r="C200" s="23" t="s">
        <v>353</v>
      </c>
      <c r="D200" s="24">
        <v>41115</v>
      </c>
      <c r="E200" s="23">
        <v>1560</v>
      </c>
      <c r="F200" s="23">
        <v>40</v>
      </c>
      <c r="G200" s="23">
        <v>4</v>
      </c>
      <c r="H200" s="23">
        <v>750</v>
      </c>
      <c r="I200" s="65">
        <f t="shared" si="6"/>
        <v>0</v>
      </c>
      <c r="J200" s="65">
        <f t="shared" si="7"/>
        <v>6240</v>
      </c>
      <c r="K200" s="65">
        <f t="shared" si="8"/>
        <v>56910</v>
      </c>
      <c r="L200"/>
      <c r="M200"/>
      <c r="N200"/>
    </row>
    <row r="201" spans="1:14" ht="15">
      <c r="A201" s="23" t="s">
        <v>326</v>
      </c>
      <c r="B201" s="23" t="s">
        <v>328</v>
      </c>
      <c r="C201" s="23" t="s">
        <v>352</v>
      </c>
      <c r="D201" s="24">
        <v>41115</v>
      </c>
      <c r="E201" s="23">
        <v>4210</v>
      </c>
      <c r="F201" s="23">
        <v>35</v>
      </c>
      <c r="G201" s="23">
        <v>2</v>
      </c>
      <c r="H201" s="23">
        <v>750</v>
      </c>
      <c r="I201" s="65">
        <f t="shared" si="6"/>
        <v>0</v>
      </c>
      <c r="J201" s="65">
        <f t="shared" si="7"/>
        <v>8420</v>
      </c>
      <c r="K201" s="65">
        <f t="shared" si="8"/>
        <v>139680</v>
      </c>
      <c r="L201"/>
      <c r="M201"/>
      <c r="N201"/>
    </row>
    <row r="202" spans="1:14" ht="15">
      <c r="A202" s="23" t="s">
        <v>343</v>
      </c>
      <c r="B202" s="23" t="s">
        <v>334</v>
      </c>
      <c r="C202" s="23" t="s">
        <v>337</v>
      </c>
      <c r="D202" s="24">
        <v>41115</v>
      </c>
      <c r="E202" s="23">
        <v>1400</v>
      </c>
      <c r="F202" s="23">
        <v>23</v>
      </c>
      <c r="G202" s="23">
        <v>4</v>
      </c>
      <c r="H202" s="23">
        <v>750</v>
      </c>
      <c r="I202" s="65">
        <f t="shared" si="6"/>
        <v>0</v>
      </c>
      <c r="J202" s="65">
        <f t="shared" si="7"/>
        <v>5600</v>
      </c>
      <c r="K202" s="65">
        <f t="shared" si="8"/>
        <v>27350</v>
      </c>
      <c r="L202"/>
      <c r="M202"/>
      <c r="N202"/>
    </row>
    <row r="203" spans="1:14" ht="15">
      <c r="A203" s="23" t="s">
        <v>363</v>
      </c>
      <c r="B203" s="23" t="s">
        <v>336</v>
      </c>
      <c r="C203" s="23" t="s">
        <v>354</v>
      </c>
      <c r="D203" s="24">
        <v>41116</v>
      </c>
      <c r="E203" s="23">
        <v>2000</v>
      </c>
      <c r="F203" s="23">
        <v>40</v>
      </c>
      <c r="G203" s="23">
        <v>3</v>
      </c>
      <c r="H203" s="23">
        <v>750</v>
      </c>
      <c r="I203" s="65">
        <f t="shared" si="6"/>
        <v>0</v>
      </c>
      <c r="J203" s="65">
        <f t="shared" si="7"/>
        <v>6000</v>
      </c>
      <c r="K203" s="65">
        <f t="shared" si="8"/>
        <v>74750</v>
      </c>
      <c r="L203"/>
      <c r="M203"/>
      <c r="N203"/>
    </row>
    <row r="204" spans="1:14" ht="15">
      <c r="A204" s="23" t="s">
        <v>330</v>
      </c>
      <c r="B204" s="23" t="s">
        <v>329</v>
      </c>
      <c r="C204" s="23" t="s">
        <v>353</v>
      </c>
      <c r="D204" s="24">
        <v>41118</v>
      </c>
      <c r="E204" s="23">
        <v>2600</v>
      </c>
      <c r="F204" s="23">
        <v>42</v>
      </c>
      <c r="G204" s="23">
        <v>2</v>
      </c>
      <c r="H204" s="23">
        <v>0</v>
      </c>
      <c r="I204" s="65">
        <f t="shared" ref="I204:I241" si="9">IF(AND(C204="Легкість буття", E204&gt;4000, A204="Мясорубка", OR(B204="Kenwoodik", B204="Tefalka")), E204*0.05,
 IF(AND(C204="Смак Компані", B204="Kenwoodik", A204="Мясорубка"), E204*0.1,
 IF(AND(B204="Panasonika", E204&gt;4710), E204*0.04, 0)))</f>
        <v>0</v>
      </c>
      <c r="J204" s="65">
        <f t="shared" ref="J204:J267" si="10">E204 * G204</f>
        <v>5200</v>
      </c>
      <c r="K204" s="65">
        <f t="shared" ref="K204:K267" si="11">(E204 - I204) * (F204 - G204) + H204</f>
        <v>104000</v>
      </c>
      <c r="L204"/>
      <c r="M204"/>
      <c r="N204"/>
    </row>
    <row r="205" spans="1:14" ht="15">
      <c r="A205" s="23" t="s">
        <v>362</v>
      </c>
      <c r="B205" s="23" t="s">
        <v>336</v>
      </c>
      <c r="C205" s="23" t="s">
        <v>333</v>
      </c>
      <c r="D205" s="24">
        <v>41118</v>
      </c>
      <c r="E205" s="23">
        <v>1950</v>
      </c>
      <c r="F205" s="23">
        <v>33</v>
      </c>
      <c r="G205" s="23">
        <v>1</v>
      </c>
      <c r="H205" s="23">
        <v>750</v>
      </c>
      <c r="I205" s="65">
        <f t="shared" si="9"/>
        <v>0</v>
      </c>
      <c r="J205" s="65">
        <f t="shared" si="10"/>
        <v>1950</v>
      </c>
      <c r="K205" s="65">
        <f t="shared" si="11"/>
        <v>63150</v>
      </c>
      <c r="L205"/>
      <c r="M205"/>
      <c r="N205"/>
    </row>
    <row r="206" spans="1:14" ht="15">
      <c r="A206" s="23" t="s">
        <v>338</v>
      </c>
      <c r="B206" s="23" t="s">
        <v>332</v>
      </c>
      <c r="C206" s="23" t="s">
        <v>353</v>
      </c>
      <c r="D206" s="24">
        <v>41119</v>
      </c>
      <c r="E206" s="23">
        <v>1490</v>
      </c>
      <c r="F206" s="23">
        <v>49</v>
      </c>
      <c r="G206" s="23">
        <v>1</v>
      </c>
      <c r="H206" s="23">
        <v>0</v>
      </c>
      <c r="I206" s="65">
        <f t="shared" si="9"/>
        <v>0</v>
      </c>
      <c r="J206" s="65">
        <f t="shared" si="10"/>
        <v>1490</v>
      </c>
      <c r="K206" s="65">
        <f t="shared" si="11"/>
        <v>71520</v>
      </c>
      <c r="L206"/>
      <c r="M206"/>
      <c r="N206"/>
    </row>
    <row r="207" spans="1:14" ht="15">
      <c r="A207" s="23" t="s">
        <v>362</v>
      </c>
      <c r="B207" s="23" t="s">
        <v>329</v>
      </c>
      <c r="C207" s="23" t="s">
        <v>352</v>
      </c>
      <c r="D207" s="24">
        <v>41119</v>
      </c>
      <c r="E207" s="23">
        <v>3100</v>
      </c>
      <c r="F207" s="23">
        <v>30</v>
      </c>
      <c r="G207" s="23">
        <v>3</v>
      </c>
      <c r="H207" s="23">
        <v>750</v>
      </c>
      <c r="I207" s="65">
        <f t="shared" si="9"/>
        <v>0</v>
      </c>
      <c r="J207" s="65">
        <f t="shared" si="10"/>
        <v>9300</v>
      </c>
      <c r="K207" s="65">
        <f t="shared" si="11"/>
        <v>84450</v>
      </c>
      <c r="L207"/>
      <c r="M207"/>
      <c r="N207"/>
    </row>
    <row r="208" spans="1:14" ht="15">
      <c r="A208" s="23" t="s">
        <v>338</v>
      </c>
      <c r="B208" s="23" t="s">
        <v>332</v>
      </c>
      <c r="C208" s="23" t="s">
        <v>355</v>
      </c>
      <c r="D208" s="24">
        <v>41120</v>
      </c>
      <c r="E208" s="23">
        <v>1500</v>
      </c>
      <c r="F208" s="23">
        <v>20</v>
      </c>
      <c r="G208" s="23">
        <v>1</v>
      </c>
      <c r="H208" s="23">
        <v>750</v>
      </c>
      <c r="I208" s="65">
        <f t="shared" si="9"/>
        <v>0</v>
      </c>
      <c r="J208" s="65">
        <f t="shared" si="10"/>
        <v>1500</v>
      </c>
      <c r="K208" s="65">
        <f t="shared" si="11"/>
        <v>29250</v>
      </c>
      <c r="L208"/>
      <c r="M208"/>
      <c r="N208"/>
    </row>
    <row r="209" spans="1:14" ht="15">
      <c r="A209" s="23" t="s">
        <v>341</v>
      </c>
      <c r="B209" s="23" t="s">
        <v>332</v>
      </c>
      <c r="C209" s="23" t="s">
        <v>352</v>
      </c>
      <c r="D209" s="24">
        <v>41120</v>
      </c>
      <c r="E209" s="23">
        <v>5490</v>
      </c>
      <c r="F209" s="23">
        <v>28</v>
      </c>
      <c r="G209" s="23">
        <v>2</v>
      </c>
      <c r="H209" s="23">
        <v>750</v>
      </c>
      <c r="I209" s="65">
        <f t="shared" si="9"/>
        <v>0</v>
      </c>
      <c r="J209" s="65">
        <f t="shared" si="10"/>
        <v>10980</v>
      </c>
      <c r="K209" s="65">
        <f t="shared" si="11"/>
        <v>143490</v>
      </c>
      <c r="L209"/>
      <c r="M209"/>
      <c r="N209"/>
    </row>
    <row r="210" spans="1:14" ht="15">
      <c r="A210" s="23" t="s">
        <v>324</v>
      </c>
      <c r="B210" s="23" t="s">
        <v>327</v>
      </c>
      <c r="C210" s="23" t="s">
        <v>354</v>
      </c>
      <c r="D210" s="24">
        <v>41121</v>
      </c>
      <c r="E210" s="23">
        <v>4800</v>
      </c>
      <c r="F210" s="23">
        <v>22</v>
      </c>
      <c r="G210" s="23">
        <v>3</v>
      </c>
      <c r="H210" s="23">
        <v>750</v>
      </c>
      <c r="I210" s="65">
        <f t="shared" si="9"/>
        <v>192</v>
      </c>
      <c r="J210" s="65">
        <f t="shared" si="10"/>
        <v>14400</v>
      </c>
      <c r="K210" s="65">
        <f t="shared" si="11"/>
        <v>88302</v>
      </c>
      <c r="L210"/>
      <c r="M210"/>
      <c r="N210"/>
    </row>
    <row r="211" spans="1:14" ht="15">
      <c r="A211" s="23" t="s">
        <v>343</v>
      </c>
      <c r="B211" s="23" t="s">
        <v>336</v>
      </c>
      <c r="C211" s="23" t="s">
        <v>355</v>
      </c>
      <c r="D211" s="24">
        <v>41127</v>
      </c>
      <c r="E211" s="23">
        <v>1700</v>
      </c>
      <c r="F211" s="23">
        <v>42</v>
      </c>
      <c r="G211" s="23">
        <v>3</v>
      </c>
      <c r="H211" s="23">
        <v>0</v>
      </c>
      <c r="I211" s="65">
        <f t="shared" si="9"/>
        <v>0</v>
      </c>
      <c r="J211" s="65">
        <f t="shared" si="10"/>
        <v>5100</v>
      </c>
      <c r="K211" s="65">
        <f t="shared" si="11"/>
        <v>66300</v>
      </c>
      <c r="L211"/>
      <c r="M211"/>
      <c r="N211"/>
    </row>
    <row r="212" spans="1:14" ht="15">
      <c r="A212" s="23" t="s">
        <v>326</v>
      </c>
      <c r="B212" s="23" t="s">
        <v>335</v>
      </c>
      <c r="C212" s="23" t="s">
        <v>337</v>
      </c>
      <c r="D212" s="24">
        <v>41131</v>
      </c>
      <c r="E212" s="23">
        <v>2870</v>
      </c>
      <c r="F212" s="23">
        <v>31</v>
      </c>
      <c r="G212" s="23">
        <v>3</v>
      </c>
      <c r="H212" s="23">
        <v>750</v>
      </c>
      <c r="I212" s="65">
        <f t="shared" si="9"/>
        <v>0</v>
      </c>
      <c r="J212" s="65">
        <f t="shared" si="10"/>
        <v>8610</v>
      </c>
      <c r="K212" s="65">
        <f t="shared" si="11"/>
        <v>81110</v>
      </c>
      <c r="L212"/>
      <c r="M212"/>
      <c r="N212"/>
    </row>
    <row r="213" spans="1:14" ht="15">
      <c r="A213" s="23" t="s">
        <v>330</v>
      </c>
      <c r="B213" s="23" t="s">
        <v>339</v>
      </c>
      <c r="C213" s="23" t="s">
        <v>333</v>
      </c>
      <c r="D213" s="24">
        <v>41132</v>
      </c>
      <c r="E213" s="23">
        <v>2710</v>
      </c>
      <c r="F213" s="23">
        <v>14</v>
      </c>
      <c r="G213" s="23">
        <v>0</v>
      </c>
      <c r="H213" s="23">
        <v>1000</v>
      </c>
      <c r="I213" s="65">
        <f t="shared" si="9"/>
        <v>0</v>
      </c>
      <c r="J213" s="65">
        <f t="shared" si="10"/>
        <v>0</v>
      </c>
      <c r="K213" s="65">
        <f t="shared" si="11"/>
        <v>38940</v>
      </c>
      <c r="L213"/>
      <c r="M213"/>
      <c r="N213"/>
    </row>
    <row r="214" spans="1:14" ht="15">
      <c r="A214" s="23" t="s">
        <v>362</v>
      </c>
      <c r="B214" s="23" t="s">
        <v>329</v>
      </c>
      <c r="C214" s="23" t="s">
        <v>337</v>
      </c>
      <c r="D214" s="24">
        <v>41132</v>
      </c>
      <c r="E214" s="23">
        <v>3300</v>
      </c>
      <c r="F214" s="23">
        <v>11</v>
      </c>
      <c r="G214" s="23">
        <v>3</v>
      </c>
      <c r="H214" s="23">
        <v>1000</v>
      </c>
      <c r="I214" s="65">
        <f t="shared" si="9"/>
        <v>0</v>
      </c>
      <c r="J214" s="65">
        <f t="shared" si="10"/>
        <v>9900</v>
      </c>
      <c r="K214" s="65">
        <f t="shared" si="11"/>
        <v>27400</v>
      </c>
      <c r="L214"/>
      <c r="M214"/>
      <c r="N214"/>
    </row>
    <row r="215" spans="1:14" ht="15">
      <c r="A215" s="23" t="s">
        <v>326</v>
      </c>
      <c r="B215" s="23" t="s">
        <v>335</v>
      </c>
      <c r="C215" s="23" t="s">
        <v>352</v>
      </c>
      <c r="D215" s="24">
        <v>41133</v>
      </c>
      <c r="E215" s="23">
        <v>2870</v>
      </c>
      <c r="F215" s="23">
        <v>16</v>
      </c>
      <c r="G215" s="23">
        <v>0</v>
      </c>
      <c r="H215" s="23">
        <v>1000</v>
      </c>
      <c r="I215" s="65">
        <f t="shared" si="9"/>
        <v>0</v>
      </c>
      <c r="J215" s="65">
        <f t="shared" si="10"/>
        <v>0</v>
      </c>
      <c r="K215" s="65">
        <f t="shared" si="11"/>
        <v>46920</v>
      </c>
      <c r="L215"/>
      <c r="M215"/>
      <c r="N215"/>
    </row>
    <row r="216" spans="1:14" ht="15">
      <c r="A216" s="23" t="s">
        <v>362</v>
      </c>
      <c r="B216" s="23" t="s">
        <v>329</v>
      </c>
      <c r="C216" s="23" t="s">
        <v>355</v>
      </c>
      <c r="D216" s="24">
        <v>41133</v>
      </c>
      <c r="E216" s="23">
        <v>3140</v>
      </c>
      <c r="F216" s="23">
        <v>20</v>
      </c>
      <c r="G216" s="23">
        <v>0</v>
      </c>
      <c r="H216" s="23">
        <v>750</v>
      </c>
      <c r="I216" s="65">
        <f t="shared" si="9"/>
        <v>0</v>
      </c>
      <c r="J216" s="65">
        <f t="shared" si="10"/>
        <v>0</v>
      </c>
      <c r="K216" s="65">
        <f t="shared" si="11"/>
        <v>63550</v>
      </c>
      <c r="L216"/>
      <c r="M216"/>
      <c r="N216"/>
    </row>
    <row r="217" spans="1:14" ht="15">
      <c r="A217" s="23" t="s">
        <v>340</v>
      </c>
      <c r="B217" s="23" t="s">
        <v>335</v>
      </c>
      <c r="C217" s="23" t="s">
        <v>354</v>
      </c>
      <c r="D217" s="24">
        <v>41134</v>
      </c>
      <c r="E217" s="23">
        <v>1100</v>
      </c>
      <c r="F217" s="23">
        <v>28</v>
      </c>
      <c r="G217" s="23">
        <v>2</v>
      </c>
      <c r="H217" s="23">
        <v>750</v>
      </c>
      <c r="I217" s="65">
        <f t="shared" si="9"/>
        <v>0</v>
      </c>
      <c r="J217" s="65">
        <f t="shared" si="10"/>
        <v>2200</v>
      </c>
      <c r="K217" s="65">
        <f t="shared" si="11"/>
        <v>29350</v>
      </c>
      <c r="L217"/>
      <c r="M217"/>
      <c r="N217"/>
    </row>
    <row r="218" spans="1:14" ht="15">
      <c r="A218" s="23" t="s">
        <v>362</v>
      </c>
      <c r="B218" s="23" t="s">
        <v>328</v>
      </c>
      <c r="C218" s="23" t="s">
        <v>333</v>
      </c>
      <c r="D218" s="24">
        <v>41134</v>
      </c>
      <c r="E218" s="23">
        <v>1380</v>
      </c>
      <c r="F218" s="23">
        <v>28</v>
      </c>
      <c r="G218" s="23">
        <v>3</v>
      </c>
      <c r="H218" s="23">
        <v>750</v>
      </c>
      <c r="I218" s="65">
        <f t="shared" si="9"/>
        <v>0</v>
      </c>
      <c r="J218" s="65">
        <f t="shared" si="10"/>
        <v>4140</v>
      </c>
      <c r="K218" s="65">
        <f t="shared" si="11"/>
        <v>35250</v>
      </c>
      <c r="L218"/>
      <c r="M218"/>
      <c r="N218"/>
    </row>
    <row r="219" spans="1:14" ht="15">
      <c r="A219" s="23" t="s">
        <v>341</v>
      </c>
      <c r="B219" s="23" t="s">
        <v>332</v>
      </c>
      <c r="C219" s="23" t="s">
        <v>353</v>
      </c>
      <c r="D219" s="24">
        <v>41136</v>
      </c>
      <c r="E219" s="23">
        <v>5490</v>
      </c>
      <c r="F219" s="23">
        <v>23</v>
      </c>
      <c r="G219" s="23">
        <v>0</v>
      </c>
      <c r="H219" s="23">
        <v>750</v>
      </c>
      <c r="I219" s="65">
        <f t="shared" si="9"/>
        <v>0</v>
      </c>
      <c r="J219" s="65">
        <f t="shared" si="10"/>
        <v>0</v>
      </c>
      <c r="K219" s="65">
        <f t="shared" si="11"/>
        <v>127020</v>
      </c>
      <c r="L219"/>
      <c r="M219"/>
      <c r="N219"/>
    </row>
    <row r="220" spans="1:14" ht="15">
      <c r="A220" s="23" t="s">
        <v>324</v>
      </c>
      <c r="B220" s="23" t="s">
        <v>344</v>
      </c>
      <c r="C220" s="23" t="s">
        <v>333</v>
      </c>
      <c r="D220" s="24">
        <v>41136</v>
      </c>
      <c r="E220" s="23">
        <v>4500</v>
      </c>
      <c r="F220" s="23">
        <v>48</v>
      </c>
      <c r="G220" s="23">
        <v>2</v>
      </c>
      <c r="H220" s="23">
        <v>0</v>
      </c>
      <c r="I220" s="65">
        <f t="shared" si="9"/>
        <v>0</v>
      </c>
      <c r="J220" s="65">
        <f t="shared" si="10"/>
        <v>9000</v>
      </c>
      <c r="K220" s="65">
        <f t="shared" si="11"/>
        <v>207000</v>
      </c>
      <c r="L220"/>
      <c r="M220"/>
      <c r="N220"/>
    </row>
    <row r="221" spans="1:14" ht="15">
      <c r="A221" s="23" t="s">
        <v>338</v>
      </c>
      <c r="B221" s="23" t="s">
        <v>335</v>
      </c>
      <c r="C221" s="23" t="s">
        <v>333</v>
      </c>
      <c r="D221" s="24">
        <v>41140</v>
      </c>
      <c r="E221" s="23">
        <v>3100</v>
      </c>
      <c r="F221" s="23">
        <v>29</v>
      </c>
      <c r="G221" s="23">
        <v>1</v>
      </c>
      <c r="H221" s="23">
        <v>750</v>
      </c>
      <c r="I221" s="65">
        <f t="shared" si="9"/>
        <v>0</v>
      </c>
      <c r="J221" s="65">
        <f t="shared" si="10"/>
        <v>3100</v>
      </c>
      <c r="K221" s="65">
        <f t="shared" si="11"/>
        <v>87550</v>
      </c>
      <c r="L221"/>
      <c r="M221"/>
      <c r="N221"/>
    </row>
    <row r="222" spans="1:14" ht="15">
      <c r="A222" s="23" t="s">
        <v>326</v>
      </c>
      <c r="B222" s="23" t="s">
        <v>328</v>
      </c>
      <c r="C222" s="23" t="s">
        <v>353</v>
      </c>
      <c r="D222" s="24">
        <v>41140</v>
      </c>
      <c r="E222" s="23">
        <v>4180</v>
      </c>
      <c r="F222" s="23">
        <v>28</v>
      </c>
      <c r="G222" s="23">
        <v>1</v>
      </c>
      <c r="H222" s="23">
        <v>750</v>
      </c>
      <c r="I222" s="65">
        <f t="shared" si="9"/>
        <v>209</v>
      </c>
      <c r="J222" s="65">
        <f t="shared" si="10"/>
        <v>4180</v>
      </c>
      <c r="K222" s="65">
        <f t="shared" si="11"/>
        <v>107967</v>
      </c>
      <c r="L222"/>
      <c r="M222"/>
      <c r="N222"/>
    </row>
    <row r="223" spans="1:14" ht="15">
      <c r="A223" s="23" t="s">
        <v>361</v>
      </c>
      <c r="B223" s="23" t="s">
        <v>328</v>
      </c>
      <c r="C223" s="23" t="s">
        <v>354</v>
      </c>
      <c r="D223" s="24">
        <v>41141</v>
      </c>
      <c r="E223" s="23">
        <v>1900</v>
      </c>
      <c r="F223" s="23">
        <v>10</v>
      </c>
      <c r="G223" s="23">
        <v>1</v>
      </c>
      <c r="H223" s="23">
        <v>1000</v>
      </c>
      <c r="I223" s="65">
        <f t="shared" si="9"/>
        <v>0</v>
      </c>
      <c r="J223" s="65">
        <f t="shared" si="10"/>
        <v>1900</v>
      </c>
      <c r="K223" s="65">
        <f t="shared" si="11"/>
        <v>18100</v>
      </c>
      <c r="L223"/>
      <c r="M223"/>
      <c r="N223"/>
    </row>
    <row r="224" spans="1:14" ht="15">
      <c r="A224" s="23" t="s">
        <v>362</v>
      </c>
      <c r="B224" s="23" t="s">
        <v>335</v>
      </c>
      <c r="C224" s="23" t="s">
        <v>355</v>
      </c>
      <c r="D224" s="24">
        <v>41142</v>
      </c>
      <c r="E224" s="23">
        <v>4800</v>
      </c>
      <c r="F224" s="23">
        <v>29</v>
      </c>
      <c r="G224" s="23">
        <v>0</v>
      </c>
      <c r="H224" s="23">
        <v>750</v>
      </c>
      <c r="I224" s="65">
        <f t="shared" si="9"/>
        <v>0</v>
      </c>
      <c r="J224" s="65">
        <f t="shared" si="10"/>
        <v>0</v>
      </c>
      <c r="K224" s="65">
        <f t="shared" si="11"/>
        <v>139950</v>
      </c>
      <c r="L224"/>
      <c r="M224"/>
      <c r="N224"/>
    </row>
    <row r="225" spans="1:14" ht="15">
      <c r="A225" s="23" t="s">
        <v>363</v>
      </c>
      <c r="B225" s="23" t="s">
        <v>339</v>
      </c>
      <c r="C225" s="23" t="s">
        <v>354</v>
      </c>
      <c r="D225" s="24">
        <v>41145</v>
      </c>
      <c r="E225" s="23">
        <v>1200</v>
      </c>
      <c r="F225" s="23">
        <v>32</v>
      </c>
      <c r="G225" s="23">
        <v>4</v>
      </c>
      <c r="H225" s="23">
        <v>750</v>
      </c>
      <c r="I225" s="65">
        <f t="shared" si="9"/>
        <v>0</v>
      </c>
      <c r="J225" s="65">
        <f t="shared" si="10"/>
        <v>4800</v>
      </c>
      <c r="K225" s="65">
        <f t="shared" si="11"/>
        <v>34350</v>
      </c>
      <c r="L225"/>
      <c r="M225"/>
      <c r="N225"/>
    </row>
    <row r="226" spans="1:14" ht="15">
      <c r="A226" s="23" t="s">
        <v>362</v>
      </c>
      <c r="B226" s="23" t="s">
        <v>336</v>
      </c>
      <c r="C226" s="23" t="s">
        <v>354</v>
      </c>
      <c r="D226" s="24">
        <v>41149</v>
      </c>
      <c r="E226" s="23">
        <v>1900</v>
      </c>
      <c r="F226" s="23">
        <v>30</v>
      </c>
      <c r="G226" s="23">
        <v>1</v>
      </c>
      <c r="H226" s="23">
        <v>750</v>
      </c>
      <c r="I226" s="65">
        <f t="shared" si="9"/>
        <v>0</v>
      </c>
      <c r="J226" s="65">
        <f t="shared" si="10"/>
        <v>1900</v>
      </c>
      <c r="K226" s="65">
        <f t="shared" si="11"/>
        <v>55850</v>
      </c>
      <c r="L226"/>
      <c r="M226"/>
      <c r="N226"/>
    </row>
    <row r="227" spans="1:14" ht="15">
      <c r="A227" s="23" t="s">
        <v>343</v>
      </c>
      <c r="B227" s="23" t="s">
        <v>339</v>
      </c>
      <c r="C227" s="23" t="s">
        <v>333</v>
      </c>
      <c r="D227" s="24">
        <v>41149</v>
      </c>
      <c r="E227" s="23">
        <v>1990</v>
      </c>
      <c r="F227" s="23">
        <v>10</v>
      </c>
      <c r="G227" s="23">
        <v>1</v>
      </c>
      <c r="H227" s="23">
        <v>1000</v>
      </c>
      <c r="I227" s="65">
        <f t="shared" si="9"/>
        <v>0</v>
      </c>
      <c r="J227" s="65">
        <f t="shared" si="10"/>
        <v>1990</v>
      </c>
      <c r="K227" s="65">
        <f t="shared" si="11"/>
        <v>18910</v>
      </c>
      <c r="L227"/>
      <c r="M227"/>
      <c r="N227"/>
    </row>
    <row r="228" spans="1:14" ht="15">
      <c r="A228" s="23" t="s">
        <v>338</v>
      </c>
      <c r="B228" s="23" t="s">
        <v>329</v>
      </c>
      <c r="C228" s="23" t="s">
        <v>353</v>
      </c>
      <c r="D228" s="24">
        <v>41150</v>
      </c>
      <c r="E228" s="23">
        <v>2970</v>
      </c>
      <c r="F228" s="23">
        <v>41</v>
      </c>
      <c r="G228" s="23">
        <v>1</v>
      </c>
      <c r="H228" s="23">
        <v>0</v>
      </c>
      <c r="I228" s="65">
        <f t="shared" si="9"/>
        <v>0</v>
      </c>
      <c r="J228" s="65">
        <f t="shared" si="10"/>
        <v>2970</v>
      </c>
      <c r="K228" s="65">
        <f t="shared" si="11"/>
        <v>118800</v>
      </c>
      <c r="L228"/>
      <c r="M228"/>
      <c r="N228"/>
    </row>
    <row r="229" spans="1:14" ht="15">
      <c r="A229" s="23" t="s">
        <v>338</v>
      </c>
      <c r="B229" s="23" t="s">
        <v>339</v>
      </c>
      <c r="C229" s="23" t="s">
        <v>354</v>
      </c>
      <c r="D229" s="24">
        <v>41152</v>
      </c>
      <c r="E229" s="23">
        <v>1200</v>
      </c>
      <c r="F229" s="23">
        <v>13</v>
      </c>
      <c r="G229" s="23">
        <v>1</v>
      </c>
      <c r="H229" s="23">
        <v>1000</v>
      </c>
      <c r="I229" s="65">
        <f t="shared" si="9"/>
        <v>0</v>
      </c>
      <c r="J229" s="65">
        <f t="shared" si="10"/>
        <v>1200</v>
      </c>
      <c r="K229" s="65">
        <f t="shared" si="11"/>
        <v>15400</v>
      </c>
      <c r="L229"/>
      <c r="M229"/>
      <c r="N229"/>
    </row>
    <row r="230" spans="1:14" ht="15">
      <c r="A230" s="23" t="s">
        <v>326</v>
      </c>
      <c r="B230" s="23" t="s">
        <v>336</v>
      </c>
      <c r="C230" s="23" t="s">
        <v>333</v>
      </c>
      <c r="D230" s="24">
        <v>41152</v>
      </c>
      <c r="E230" s="23">
        <v>4100</v>
      </c>
      <c r="F230" s="23">
        <v>45</v>
      </c>
      <c r="G230" s="23">
        <v>4</v>
      </c>
      <c r="H230" s="23">
        <v>0</v>
      </c>
      <c r="I230" s="65">
        <f t="shared" si="9"/>
        <v>0</v>
      </c>
      <c r="J230" s="65">
        <f t="shared" si="10"/>
        <v>16400</v>
      </c>
      <c r="K230" s="65">
        <f t="shared" si="11"/>
        <v>168100</v>
      </c>
      <c r="L230"/>
      <c r="M230"/>
      <c r="N230"/>
    </row>
    <row r="231" spans="1:14" ht="15">
      <c r="A231" s="23" t="s">
        <v>363</v>
      </c>
      <c r="B231" s="23" t="s">
        <v>332</v>
      </c>
      <c r="C231" s="23" t="s">
        <v>333</v>
      </c>
      <c r="D231" s="24">
        <v>41153</v>
      </c>
      <c r="E231" s="23">
        <v>1650</v>
      </c>
      <c r="F231" s="23">
        <v>22</v>
      </c>
      <c r="G231" s="23">
        <v>1</v>
      </c>
      <c r="H231" s="23">
        <v>750</v>
      </c>
      <c r="I231" s="65">
        <f t="shared" si="9"/>
        <v>0</v>
      </c>
      <c r="J231" s="65">
        <f t="shared" si="10"/>
        <v>1650</v>
      </c>
      <c r="K231" s="65">
        <f t="shared" si="11"/>
        <v>35400</v>
      </c>
      <c r="L231"/>
      <c r="M231"/>
      <c r="N231"/>
    </row>
    <row r="232" spans="1:14" ht="15">
      <c r="A232" s="23" t="s">
        <v>362</v>
      </c>
      <c r="B232" s="23" t="s">
        <v>339</v>
      </c>
      <c r="C232" s="23" t="s">
        <v>353</v>
      </c>
      <c r="D232" s="24">
        <v>41154</v>
      </c>
      <c r="E232" s="23">
        <v>3150</v>
      </c>
      <c r="F232" s="23">
        <v>38</v>
      </c>
      <c r="G232" s="23">
        <v>2</v>
      </c>
      <c r="H232" s="23">
        <v>750</v>
      </c>
      <c r="I232" s="65">
        <f t="shared" si="9"/>
        <v>0</v>
      </c>
      <c r="J232" s="65">
        <f t="shared" si="10"/>
        <v>6300</v>
      </c>
      <c r="K232" s="65">
        <f t="shared" si="11"/>
        <v>114150</v>
      </c>
      <c r="L232"/>
      <c r="M232"/>
      <c r="N232"/>
    </row>
    <row r="233" spans="1:14" ht="15">
      <c r="A233" s="23" t="s">
        <v>343</v>
      </c>
      <c r="B233" s="23" t="s">
        <v>336</v>
      </c>
      <c r="C233" s="23" t="s">
        <v>353</v>
      </c>
      <c r="D233" s="24">
        <v>41154</v>
      </c>
      <c r="E233" s="23">
        <v>1700</v>
      </c>
      <c r="F233" s="23">
        <v>50</v>
      </c>
      <c r="G233" s="23">
        <v>4</v>
      </c>
      <c r="H233" s="23">
        <v>0</v>
      </c>
      <c r="I233" s="65">
        <f t="shared" si="9"/>
        <v>0</v>
      </c>
      <c r="J233" s="65">
        <f t="shared" si="10"/>
        <v>6800</v>
      </c>
      <c r="K233" s="65">
        <f t="shared" si="11"/>
        <v>78200</v>
      </c>
      <c r="L233"/>
      <c r="M233"/>
      <c r="N233"/>
    </row>
    <row r="234" spans="1:14" ht="15">
      <c r="A234" s="23" t="s">
        <v>340</v>
      </c>
      <c r="B234" s="23" t="s">
        <v>328</v>
      </c>
      <c r="C234" s="23" t="s">
        <v>353</v>
      </c>
      <c r="D234" s="24">
        <v>41157</v>
      </c>
      <c r="E234" s="23">
        <v>1150</v>
      </c>
      <c r="F234" s="23">
        <v>48</v>
      </c>
      <c r="G234" s="23">
        <v>2</v>
      </c>
      <c r="H234" s="23">
        <v>0</v>
      </c>
      <c r="I234" s="65">
        <f t="shared" si="9"/>
        <v>0</v>
      </c>
      <c r="J234" s="65">
        <f t="shared" si="10"/>
        <v>2300</v>
      </c>
      <c r="K234" s="65">
        <f t="shared" si="11"/>
        <v>52900</v>
      </c>
      <c r="L234"/>
      <c r="M234"/>
      <c r="N234"/>
    </row>
    <row r="235" spans="1:14" ht="15">
      <c r="A235" s="23" t="s">
        <v>340</v>
      </c>
      <c r="B235" s="23" t="s">
        <v>328</v>
      </c>
      <c r="C235" s="23" t="s">
        <v>355</v>
      </c>
      <c r="D235" s="24">
        <v>41159</v>
      </c>
      <c r="E235" s="23">
        <v>1150</v>
      </c>
      <c r="F235" s="23">
        <v>27</v>
      </c>
      <c r="G235" s="23">
        <v>3</v>
      </c>
      <c r="H235" s="23">
        <v>750</v>
      </c>
      <c r="I235" s="65">
        <f t="shared" si="9"/>
        <v>0</v>
      </c>
      <c r="J235" s="65">
        <f t="shared" si="10"/>
        <v>3450</v>
      </c>
      <c r="K235" s="65">
        <f t="shared" si="11"/>
        <v>28350</v>
      </c>
      <c r="L235"/>
      <c r="M235"/>
      <c r="N235"/>
    </row>
    <row r="236" spans="1:14" ht="15">
      <c r="A236" s="23" t="s">
        <v>362</v>
      </c>
      <c r="B236" s="23" t="s">
        <v>334</v>
      </c>
      <c r="C236" s="23" t="s">
        <v>354</v>
      </c>
      <c r="D236" s="24">
        <v>41160</v>
      </c>
      <c r="E236" s="23">
        <v>2400</v>
      </c>
      <c r="F236" s="23">
        <v>48</v>
      </c>
      <c r="G236" s="23">
        <v>2</v>
      </c>
      <c r="H236" s="23">
        <v>0</v>
      </c>
      <c r="I236" s="65">
        <f t="shared" si="9"/>
        <v>0</v>
      </c>
      <c r="J236" s="65">
        <f t="shared" si="10"/>
        <v>4800</v>
      </c>
      <c r="K236" s="65">
        <f t="shared" si="11"/>
        <v>110400</v>
      </c>
      <c r="L236"/>
      <c r="M236"/>
      <c r="N236"/>
    </row>
    <row r="237" spans="1:14" ht="15">
      <c r="A237" s="23" t="s">
        <v>363</v>
      </c>
      <c r="B237" s="23" t="s">
        <v>339</v>
      </c>
      <c r="C237" s="23" t="s">
        <v>355</v>
      </c>
      <c r="D237" s="24">
        <v>41161</v>
      </c>
      <c r="E237" s="23">
        <v>1150</v>
      </c>
      <c r="F237" s="23">
        <v>14</v>
      </c>
      <c r="G237" s="23">
        <v>4</v>
      </c>
      <c r="H237" s="23">
        <v>1000</v>
      </c>
      <c r="I237" s="65">
        <f t="shared" si="9"/>
        <v>0</v>
      </c>
      <c r="J237" s="65">
        <f t="shared" si="10"/>
        <v>4600</v>
      </c>
      <c r="K237" s="65">
        <f t="shared" si="11"/>
        <v>12500</v>
      </c>
      <c r="L237"/>
      <c r="M237"/>
      <c r="N237"/>
    </row>
    <row r="238" spans="1:14" ht="15">
      <c r="A238" s="23" t="s">
        <v>326</v>
      </c>
      <c r="B238" s="23" t="s">
        <v>328</v>
      </c>
      <c r="C238" s="23" t="s">
        <v>354</v>
      </c>
      <c r="D238" s="24">
        <v>41162</v>
      </c>
      <c r="E238" s="23">
        <v>4200</v>
      </c>
      <c r="F238" s="23">
        <v>26</v>
      </c>
      <c r="G238" s="23">
        <v>1</v>
      </c>
      <c r="H238" s="23">
        <v>750</v>
      </c>
      <c r="I238" s="65">
        <f t="shared" si="9"/>
        <v>0</v>
      </c>
      <c r="J238" s="65">
        <f t="shared" si="10"/>
        <v>4200</v>
      </c>
      <c r="K238" s="65">
        <f t="shared" si="11"/>
        <v>105750</v>
      </c>
      <c r="L238"/>
      <c r="M238"/>
      <c r="N238"/>
    </row>
    <row r="239" spans="1:14" ht="15">
      <c r="A239" s="23" t="s">
        <v>343</v>
      </c>
      <c r="B239" s="23" t="s">
        <v>339</v>
      </c>
      <c r="C239" s="23" t="s">
        <v>354</v>
      </c>
      <c r="D239" s="24">
        <v>41162</v>
      </c>
      <c r="E239" s="23">
        <v>2100</v>
      </c>
      <c r="F239" s="23">
        <v>37</v>
      </c>
      <c r="G239" s="23">
        <v>0</v>
      </c>
      <c r="H239" s="23">
        <v>750</v>
      </c>
      <c r="I239" s="65">
        <f t="shared" si="9"/>
        <v>0</v>
      </c>
      <c r="J239" s="65">
        <f t="shared" si="10"/>
        <v>0</v>
      </c>
      <c r="K239" s="65">
        <f t="shared" si="11"/>
        <v>78450</v>
      </c>
      <c r="L239"/>
      <c r="M239"/>
      <c r="N239"/>
    </row>
    <row r="240" spans="1:14" ht="15">
      <c r="A240" s="23" t="s">
        <v>340</v>
      </c>
      <c r="B240" s="23" t="s">
        <v>336</v>
      </c>
      <c r="C240" s="23" t="s">
        <v>353</v>
      </c>
      <c r="D240" s="24">
        <v>41164</v>
      </c>
      <c r="E240" s="23">
        <v>1200</v>
      </c>
      <c r="F240" s="23">
        <v>39</v>
      </c>
      <c r="G240" s="23">
        <v>4</v>
      </c>
      <c r="H240" s="23">
        <v>750</v>
      </c>
      <c r="I240" s="65">
        <f t="shared" si="9"/>
        <v>0</v>
      </c>
      <c r="J240" s="65">
        <f t="shared" si="10"/>
        <v>4800</v>
      </c>
      <c r="K240" s="65">
        <f t="shared" si="11"/>
        <v>42750</v>
      </c>
      <c r="L240"/>
      <c r="M240"/>
      <c r="N240"/>
    </row>
    <row r="241" spans="1:14" ht="15">
      <c r="A241" s="23" t="s">
        <v>326</v>
      </c>
      <c r="B241" s="23" t="s">
        <v>332</v>
      </c>
      <c r="C241" s="23" t="s">
        <v>333</v>
      </c>
      <c r="D241" s="24">
        <v>41164</v>
      </c>
      <c r="E241" s="23">
        <v>2850</v>
      </c>
      <c r="F241" s="23">
        <v>25</v>
      </c>
      <c r="G241" s="23">
        <v>3</v>
      </c>
      <c r="H241" s="23">
        <v>750</v>
      </c>
      <c r="I241" s="65">
        <f t="shared" si="9"/>
        <v>0</v>
      </c>
      <c r="J241" s="65">
        <f t="shared" si="10"/>
        <v>8550</v>
      </c>
      <c r="K241" s="65">
        <f t="shared" si="11"/>
        <v>63450</v>
      </c>
      <c r="L241"/>
      <c r="M241"/>
      <c r="N241"/>
    </row>
    <row r="242" spans="1:14" ht="15">
      <c r="A242" s="23" t="s">
        <v>326</v>
      </c>
      <c r="B242" s="23" t="s">
        <v>334</v>
      </c>
      <c r="C242" s="23" t="s">
        <v>353</v>
      </c>
      <c r="D242" s="24">
        <v>41167</v>
      </c>
      <c r="E242" s="23">
        <v>4350</v>
      </c>
      <c r="F242" s="23">
        <v>41</v>
      </c>
      <c r="G242" s="23">
        <v>2</v>
      </c>
      <c r="H242" s="23">
        <v>0</v>
      </c>
      <c r="I242" s="65">
        <f>IF(AND(C242="Легкість буття", E242&gt;4000, A242="Мясорубка", OR(B242="Kenwoodik", B242="Tefalka")), E242*0.05,
 IF(AND(C242="Смак Компані", B242="Kenwoodik", A242="Мясорубка"), E242*0.1,
 IF(AND(B242="Panasonika", E242&gt;4710), E242*0.04, 0)))</f>
        <v>0</v>
      </c>
      <c r="J242" s="65">
        <f t="shared" si="10"/>
        <v>8700</v>
      </c>
      <c r="K242" s="65">
        <f t="shared" si="11"/>
        <v>169650</v>
      </c>
      <c r="L242"/>
      <c r="M242"/>
      <c r="N242"/>
    </row>
    <row r="243" spans="1:14" ht="15">
      <c r="A243" s="23" t="s">
        <v>324</v>
      </c>
      <c r="B243" s="23" t="s">
        <v>325</v>
      </c>
      <c r="C243" s="23" t="s">
        <v>337</v>
      </c>
      <c r="D243" s="24">
        <v>41168</v>
      </c>
      <c r="E243" s="23">
        <v>2850</v>
      </c>
      <c r="F243" s="23">
        <v>11</v>
      </c>
      <c r="G243" s="23">
        <v>0</v>
      </c>
      <c r="H243" s="23">
        <v>1000</v>
      </c>
      <c r="I243" s="65">
        <f t="shared" ref="I243:I306" si="12">IF(AND(C243="Легкість буття", E243&gt;4000, A243="Мясорубка", OR(B243="Kenwoodik", B243="Tefalka")), E243*0.05,
 IF(AND(C243="Смак Компані", B243="Kenwoodik", A243="Мясорубка"), E243*0.1,
 IF(AND(B243="Panasonika", E243&gt;4710), E243*0.04, 0)))</f>
        <v>0</v>
      </c>
      <c r="J243" s="65">
        <f t="shared" si="10"/>
        <v>0</v>
      </c>
      <c r="K243" s="65">
        <f t="shared" si="11"/>
        <v>32350</v>
      </c>
      <c r="L243"/>
      <c r="M243"/>
      <c r="N243"/>
    </row>
    <row r="244" spans="1:14" ht="15">
      <c r="A244" s="23" t="s">
        <v>362</v>
      </c>
      <c r="B244" s="23" t="s">
        <v>339</v>
      </c>
      <c r="C244" s="23" t="s">
        <v>355</v>
      </c>
      <c r="D244" s="24">
        <v>41170</v>
      </c>
      <c r="E244" s="23">
        <v>3150</v>
      </c>
      <c r="F244" s="23">
        <v>29</v>
      </c>
      <c r="G244" s="23">
        <v>3</v>
      </c>
      <c r="H244" s="23">
        <v>750</v>
      </c>
      <c r="I244" s="65">
        <f t="shared" si="12"/>
        <v>0</v>
      </c>
      <c r="J244" s="65">
        <f t="shared" si="10"/>
        <v>9450</v>
      </c>
      <c r="K244" s="65">
        <f t="shared" si="11"/>
        <v>82650</v>
      </c>
      <c r="L244"/>
      <c r="M244"/>
      <c r="N244"/>
    </row>
    <row r="245" spans="1:14" ht="15">
      <c r="A245" s="23" t="s">
        <v>326</v>
      </c>
      <c r="B245" s="23" t="s">
        <v>334</v>
      </c>
      <c r="C245" s="23" t="s">
        <v>354</v>
      </c>
      <c r="D245" s="24">
        <v>41171</v>
      </c>
      <c r="E245" s="23">
        <v>4400</v>
      </c>
      <c r="F245" s="23">
        <v>39</v>
      </c>
      <c r="G245" s="23">
        <v>1</v>
      </c>
      <c r="H245" s="23">
        <v>750</v>
      </c>
      <c r="I245" s="65">
        <f t="shared" si="12"/>
        <v>0</v>
      </c>
      <c r="J245" s="65">
        <f t="shared" si="10"/>
        <v>4400</v>
      </c>
      <c r="K245" s="65">
        <f t="shared" si="11"/>
        <v>167950</v>
      </c>
      <c r="L245"/>
      <c r="M245"/>
      <c r="N245"/>
    </row>
    <row r="246" spans="1:14" ht="15">
      <c r="A246" s="23" t="s">
        <v>326</v>
      </c>
      <c r="B246" s="23" t="s">
        <v>335</v>
      </c>
      <c r="C246" s="23" t="s">
        <v>333</v>
      </c>
      <c r="D246" s="24">
        <v>41172</v>
      </c>
      <c r="E246" s="23">
        <v>2870</v>
      </c>
      <c r="F246" s="23">
        <v>28</v>
      </c>
      <c r="G246" s="23">
        <v>1</v>
      </c>
      <c r="H246" s="23">
        <v>750</v>
      </c>
      <c r="I246" s="65">
        <f t="shared" si="12"/>
        <v>0</v>
      </c>
      <c r="J246" s="65">
        <f t="shared" si="10"/>
        <v>2870</v>
      </c>
      <c r="K246" s="65">
        <f t="shared" si="11"/>
        <v>78240</v>
      </c>
      <c r="L246"/>
      <c r="M246"/>
      <c r="N246"/>
    </row>
    <row r="247" spans="1:14" ht="15">
      <c r="A247" s="23" t="s">
        <v>341</v>
      </c>
      <c r="B247" s="23" t="s">
        <v>334</v>
      </c>
      <c r="C247" s="23" t="s">
        <v>333</v>
      </c>
      <c r="D247" s="24">
        <v>41173</v>
      </c>
      <c r="E247" s="23">
        <v>4590</v>
      </c>
      <c r="F247" s="23">
        <v>36</v>
      </c>
      <c r="G247" s="23">
        <v>2</v>
      </c>
      <c r="H247" s="23">
        <v>750</v>
      </c>
      <c r="I247" s="65">
        <f t="shared" si="12"/>
        <v>0</v>
      </c>
      <c r="J247" s="65">
        <f t="shared" si="10"/>
        <v>9180</v>
      </c>
      <c r="K247" s="65">
        <f t="shared" si="11"/>
        <v>156810</v>
      </c>
      <c r="L247"/>
      <c r="M247"/>
      <c r="N247"/>
    </row>
    <row r="248" spans="1:14" ht="15">
      <c r="A248" s="23" t="s">
        <v>361</v>
      </c>
      <c r="B248" s="23" t="s">
        <v>328</v>
      </c>
      <c r="C248" s="23" t="s">
        <v>333</v>
      </c>
      <c r="D248" s="24">
        <v>41174</v>
      </c>
      <c r="E248" s="23">
        <v>1800</v>
      </c>
      <c r="F248" s="23">
        <v>8</v>
      </c>
      <c r="G248" s="23">
        <v>1</v>
      </c>
      <c r="H248" s="23">
        <v>1000</v>
      </c>
      <c r="I248" s="65">
        <f t="shared" si="12"/>
        <v>0</v>
      </c>
      <c r="J248" s="65">
        <f t="shared" si="10"/>
        <v>1800</v>
      </c>
      <c r="K248" s="65">
        <f t="shared" si="11"/>
        <v>13600</v>
      </c>
      <c r="L248"/>
      <c r="M248"/>
      <c r="N248"/>
    </row>
    <row r="249" spans="1:14" ht="15">
      <c r="A249" s="23" t="s">
        <v>338</v>
      </c>
      <c r="B249" s="23" t="s">
        <v>335</v>
      </c>
      <c r="C249" s="23" t="s">
        <v>355</v>
      </c>
      <c r="D249" s="24">
        <v>41174</v>
      </c>
      <c r="E249" s="23">
        <v>3390</v>
      </c>
      <c r="F249" s="23">
        <v>19</v>
      </c>
      <c r="G249" s="23">
        <v>3</v>
      </c>
      <c r="H249" s="23">
        <v>1000</v>
      </c>
      <c r="I249" s="65">
        <f t="shared" si="12"/>
        <v>0</v>
      </c>
      <c r="J249" s="65">
        <f t="shared" si="10"/>
        <v>10170</v>
      </c>
      <c r="K249" s="65">
        <f t="shared" si="11"/>
        <v>55240</v>
      </c>
      <c r="L249"/>
      <c r="M249"/>
      <c r="N249"/>
    </row>
    <row r="250" spans="1:14" ht="15">
      <c r="A250" s="23" t="s">
        <v>326</v>
      </c>
      <c r="B250" s="23" t="s">
        <v>332</v>
      </c>
      <c r="C250" s="23" t="s">
        <v>355</v>
      </c>
      <c r="D250" s="24">
        <v>41174</v>
      </c>
      <c r="E250" s="23">
        <v>2850</v>
      </c>
      <c r="F250" s="23">
        <v>36</v>
      </c>
      <c r="G250" s="23">
        <v>2</v>
      </c>
      <c r="H250" s="23">
        <v>750</v>
      </c>
      <c r="I250" s="65">
        <f t="shared" si="12"/>
        <v>0</v>
      </c>
      <c r="J250" s="65">
        <f t="shared" si="10"/>
        <v>5700</v>
      </c>
      <c r="K250" s="65">
        <f t="shared" si="11"/>
        <v>97650</v>
      </c>
      <c r="L250"/>
      <c r="M250"/>
      <c r="N250"/>
    </row>
    <row r="251" spans="1:14" ht="15">
      <c r="A251" s="23" t="s">
        <v>330</v>
      </c>
      <c r="B251" s="23" t="s">
        <v>339</v>
      </c>
      <c r="C251" s="23" t="s">
        <v>352</v>
      </c>
      <c r="D251" s="24">
        <v>41178</v>
      </c>
      <c r="E251" s="23">
        <v>2620</v>
      </c>
      <c r="F251" s="23">
        <v>20</v>
      </c>
      <c r="G251" s="23">
        <v>2</v>
      </c>
      <c r="H251" s="23">
        <v>750</v>
      </c>
      <c r="I251" s="65">
        <f t="shared" si="12"/>
        <v>0</v>
      </c>
      <c r="J251" s="65">
        <f t="shared" si="10"/>
        <v>5240</v>
      </c>
      <c r="K251" s="65">
        <f t="shared" si="11"/>
        <v>47910</v>
      </c>
      <c r="L251"/>
      <c r="M251"/>
      <c r="N251"/>
    </row>
    <row r="252" spans="1:14" ht="15">
      <c r="A252" s="23" t="s">
        <v>341</v>
      </c>
      <c r="B252" s="23" t="s">
        <v>339</v>
      </c>
      <c r="C252" s="23" t="s">
        <v>354</v>
      </c>
      <c r="D252" s="24">
        <v>41180</v>
      </c>
      <c r="E252" s="23">
        <v>4550</v>
      </c>
      <c r="F252" s="23">
        <v>28</v>
      </c>
      <c r="G252" s="23">
        <v>0</v>
      </c>
      <c r="H252" s="23">
        <v>750</v>
      </c>
      <c r="I252" s="65">
        <f t="shared" si="12"/>
        <v>0</v>
      </c>
      <c r="J252" s="65">
        <f t="shared" si="10"/>
        <v>0</v>
      </c>
      <c r="K252" s="65">
        <f t="shared" si="11"/>
        <v>128150</v>
      </c>
      <c r="L252"/>
      <c r="M252"/>
      <c r="N252"/>
    </row>
    <row r="253" spans="1:14" ht="15">
      <c r="A253" s="23" t="s">
        <v>324</v>
      </c>
      <c r="B253" s="23" t="s">
        <v>342</v>
      </c>
      <c r="C253" s="23" t="s">
        <v>355</v>
      </c>
      <c r="D253" s="24">
        <v>41181</v>
      </c>
      <c r="E253" s="23">
        <v>3750</v>
      </c>
      <c r="F253" s="23">
        <v>47</v>
      </c>
      <c r="G253" s="23">
        <v>1</v>
      </c>
      <c r="H253" s="23">
        <v>0</v>
      </c>
      <c r="I253" s="65">
        <f t="shared" si="12"/>
        <v>0</v>
      </c>
      <c r="J253" s="65">
        <f t="shared" si="10"/>
        <v>3750</v>
      </c>
      <c r="K253" s="65">
        <f t="shared" si="11"/>
        <v>172500</v>
      </c>
      <c r="L253"/>
      <c r="M253"/>
      <c r="N253"/>
    </row>
    <row r="254" spans="1:14" ht="15">
      <c r="A254" s="23" t="s">
        <v>331</v>
      </c>
      <c r="B254" s="23" t="s">
        <v>328</v>
      </c>
      <c r="C254" s="23" t="s">
        <v>337</v>
      </c>
      <c r="D254" s="24">
        <v>41181</v>
      </c>
      <c r="E254" s="23">
        <v>900</v>
      </c>
      <c r="F254" s="23">
        <v>18</v>
      </c>
      <c r="G254" s="23">
        <v>3</v>
      </c>
      <c r="H254" s="23">
        <v>1000</v>
      </c>
      <c r="I254" s="65">
        <f t="shared" si="12"/>
        <v>0</v>
      </c>
      <c r="J254" s="65">
        <f t="shared" si="10"/>
        <v>2700</v>
      </c>
      <c r="K254" s="65">
        <f t="shared" si="11"/>
        <v>14500</v>
      </c>
      <c r="L254"/>
      <c r="M254"/>
      <c r="N254"/>
    </row>
    <row r="255" spans="1:14" ht="15">
      <c r="A255" s="23" t="s">
        <v>338</v>
      </c>
      <c r="B255" s="23" t="s">
        <v>332</v>
      </c>
      <c r="C255" s="23" t="s">
        <v>333</v>
      </c>
      <c r="D255" s="24">
        <v>41183</v>
      </c>
      <c r="E255" s="23">
        <v>1500</v>
      </c>
      <c r="F255" s="23">
        <v>38</v>
      </c>
      <c r="G255" s="23">
        <v>1</v>
      </c>
      <c r="H255" s="23">
        <v>750</v>
      </c>
      <c r="I255" s="65">
        <f t="shared" si="12"/>
        <v>0</v>
      </c>
      <c r="J255" s="65">
        <f t="shared" si="10"/>
        <v>1500</v>
      </c>
      <c r="K255" s="65">
        <f t="shared" si="11"/>
        <v>56250</v>
      </c>
      <c r="L255"/>
      <c r="M255"/>
      <c r="N255"/>
    </row>
    <row r="256" spans="1:14" ht="15">
      <c r="A256" s="23" t="s">
        <v>338</v>
      </c>
      <c r="B256" s="23" t="s">
        <v>332</v>
      </c>
      <c r="C256" s="23" t="s">
        <v>337</v>
      </c>
      <c r="D256" s="24">
        <v>41183</v>
      </c>
      <c r="E256" s="23">
        <v>1600</v>
      </c>
      <c r="F256" s="23">
        <v>14</v>
      </c>
      <c r="G256" s="23">
        <v>0</v>
      </c>
      <c r="H256" s="23">
        <v>1000</v>
      </c>
      <c r="I256" s="65">
        <f t="shared" si="12"/>
        <v>0</v>
      </c>
      <c r="J256" s="65">
        <f t="shared" si="10"/>
        <v>0</v>
      </c>
      <c r="K256" s="65">
        <f t="shared" si="11"/>
        <v>23400</v>
      </c>
      <c r="L256"/>
      <c r="M256"/>
      <c r="N256"/>
    </row>
    <row r="257" spans="1:14" ht="15">
      <c r="A257" s="23" t="s">
        <v>331</v>
      </c>
      <c r="B257" s="23" t="s">
        <v>332</v>
      </c>
      <c r="C257" s="23" t="s">
        <v>352</v>
      </c>
      <c r="D257" s="24">
        <v>41186</v>
      </c>
      <c r="E257" s="23">
        <v>1100</v>
      </c>
      <c r="F257" s="23">
        <v>40</v>
      </c>
      <c r="G257" s="23">
        <v>3</v>
      </c>
      <c r="H257" s="23">
        <v>750</v>
      </c>
      <c r="I257" s="65">
        <f t="shared" si="12"/>
        <v>0</v>
      </c>
      <c r="J257" s="65">
        <f t="shared" si="10"/>
        <v>3300</v>
      </c>
      <c r="K257" s="65">
        <f t="shared" si="11"/>
        <v>41450</v>
      </c>
      <c r="L257"/>
      <c r="M257"/>
      <c r="N257"/>
    </row>
    <row r="258" spans="1:14" ht="15">
      <c r="A258" s="23" t="s">
        <v>362</v>
      </c>
      <c r="B258" s="23" t="s">
        <v>329</v>
      </c>
      <c r="C258" s="23" t="s">
        <v>353</v>
      </c>
      <c r="D258" s="24">
        <v>41188</v>
      </c>
      <c r="E258" s="23">
        <v>3100</v>
      </c>
      <c r="F258" s="23">
        <v>27</v>
      </c>
      <c r="G258" s="23">
        <v>1</v>
      </c>
      <c r="H258" s="23">
        <v>750</v>
      </c>
      <c r="I258" s="65">
        <f t="shared" si="12"/>
        <v>0</v>
      </c>
      <c r="J258" s="65">
        <f t="shared" si="10"/>
        <v>3100</v>
      </c>
      <c r="K258" s="65">
        <f t="shared" si="11"/>
        <v>81350</v>
      </c>
      <c r="L258"/>
      <c r="M258"/>
      <c r="N258"/>
    </row>
    <row r="259" spans="1:14" ht="15">
      <c r="A259" s="23" t="s">
        <v>340</v>
      </c>
      <c r="B259" s="23" t="s">
        <v>328</v>
      </c>
      <c r="C259" s="23" t="s">
        <v>337</v>
      </c>
      <c r="D259" s="24">
        <v>41189</v>
      </c>
      <c r="E259" s="23">
        <v>1200</v>
      </c>
      <c r="F259" s="23">
        <v>20</v>
      </c>
      <c r="G259" s="23">
        <v>4</v>
      </c>
      <c r="H259" s="23">
        <v>750</v>
      </c>
      <c r="I259" s="65">
        <f t="shared" si="12"/>
        <v>0</v>
      </c>
      <c r="J259" s="65">
        <f t="shared" si="10"/>
        <v>4800</v>
      </c>
      <c r="K259" s="65">
        <f t="shared" si="11"/>
        <v>19950</v>
      </c>
      <c r="L259"/>
      <c r="M259"/>
      <c r="N259"/>
    </row>
    <row r="260" spans="1:14" ht="15">
      <c r="A260" s="23" t="s">
        <v>363</v>
      </c>
      <c r="B260" s="23" t="s">
        <v>329</v>
      </c>
      <c r="C260" s="23" t="s">
        <v>333</v>
      </c>
      <c r="D260" s="24">
        <v>41189</v>
      </c>
      <c r="E260" s="23">
        <v>2500</v>
      </c>
      <c r="F260" s="23">
        <v>18</v>
      </c>
      <c r="G260" s="23">
        <v>1</v>
      </c>
      <c r="H260" s="23">
        <v>1000</v>
      </c>
      <c r="I260" s="65">
        <f t="shared" si="12"/>
        <v>0</v>
      </c>
      <c r="J260" s="65">
        <f t="shared" si="10"/>
        <v>2500</v>
      </c>
      <c r="K260" s="65">
        <f t="shared" si="11"/>
        <v>43500</v>
      </c>
      <c r="L260"/>
      <c r="M260"/>
      <c r="N260"/>
    </row>
    <row r="261" spans="1:14" ht="15">
      <c r="A261" s="23" t="s">
        <v>330</v>
      </c>
      <c r="B261" s="23" t="s">
        <v>328</v>
      </c>
      <c r="C261" s="23" t="s">
        <v>353</v>
      </c>
      <c r="D261" s="24">
        <v>41190</v>
      </c>
      <c r="E261" s="23">
        <v>3900</v>
      </c>
      <c r="F261" s="23">
        <v>29</v>
      </c>
      <c r="G261" s="23">
        <v>2</v>
      </c>
      <c r="H261" s="23">
        <v>750</v>
      </c>
      <c r="I261" s="65">
        <f t="shared" si="12"/>
        <v>0</v>
      </c>
      <c r="J261" s="65">
        <f t="shared" si="10"/>
        <v>7800</v>
      </c>
      <c r="K261" s="65">
        <f t="shared" si="11"/>
        <v>106050</v>
      </c>
      <c r="L261"/>
      <c r="M261"/>
      <c r="N261"/>
    </row>
    <row r="262" spans="1:14" ht="15">
      <c r="A262" s="23" t="s">
        <v>361</v>
      </c>
      <c r="B262" s="23" t="s">
        <v>328</v>
      </c>
      <c r="C262" s="23" t="s">
        <v>353</v>
      </c>
      <c r="D262" s="24">
        <v>41192</v>
      </c>
      <c r="E262" s="23">
        <v>1890</v>
      </c>
      <c r="F262" s="23">
        <v>16</v>
      </c>
      <c r="G262" s="23">
        <v>0</v>
      </c>
      <c r="H262" s="23">
        <v>1000</v>
      </c>
      <c r="I262" s="65">
        <f t="shared" si="12"/>
        <v>0</v>
      </c>
      <c r="J262" s="65">
        <f t="shared" si="10"/>
        <v>0</v>
      </c>
      <c r="K262" s="65">
        <f t="shared" si="11"/>
        <v>31240</v>
      </c>
      <c r="L262"/>
      <c r="M262"/>
      <c r="N262"/>
    </row>
    <row r="263" spans="1:14" ht="15">
      <c r="A263" s="23" t="s">
        <v>330</v>
      </c>
      <c r="B263" s="23" t="s">
        <v>332</v>
      </c>
      <c r="C263" s="23" t="s">
        <v>333</v>
      </c>
      <c r="D263" s="24">
        <v>41192</v>
      </c>
      <c r="E263" s="23">
        <v>2580</v>
      </c>
      <c r="F263" s="23">
        <v>45</v>
      </c>
      <c r="G263" s="23">
        <v>0</v>
      </c>
      <c r="H263" s="23">
        <v>0</v>
      </c>
      <c r="I263" s="65">
        <f t="shared" si="12"/>
        <v>0</v>
      </c>
      <c r="J263" s="65">
        <f t="shared" si="10"/>
        <v>0</v>
      </c>
      <c r="K263" s="65">
        <f t="shared" si="11"/>
        <v>116100</v>
      </c>
      <c r="L263"/>
      <c r="M263"/>
      <c r="N263"/>
    </row>
    <row r="264" spans="1:14" ht="15">
      <c r="A264" s="23" t="s">
        <v>362</v>
      </c>
      <c r="B264" s="23" t="s">
        <v>332</v>
      </c>
      <c r="C264" s="23" t="s">
        <v>333</v>
      </c>
      <c r="D264" s="24">
        <v>41192</v>
      </c>
      <c r="E264" s="23">
        <v>2500</v>
      </c>
      <c r="F264" s="23">
        <v>19</v>
      </c>
      <c r="G264" s="23">
        <v>2</v>
      </c>
      <c r="H264" s="23">
        <v>1000</v>
      </c>
      <c r="I264" s="65">
        <f t="shared" si="12"/>
        <v>0</v>
      </c>
      <c r="J264" s="65">
        <f t="shared" si="10"/>
        <v>5000</v>
      </c>
      <c r="K264" s="65">
        <f t="shared" si="11"/>
        <v>43500</v>
      </c>
      <c r="L264"/>
      <c r="M264"/>
      <c r="N264"/>
    </row>
    <row r="265" spans="1:14" ht="15">
      <c r="A265" s="23" t="s">
        <v>340</v>
      </c>
      <c r="B265" s="23" t="s">
        <v>328</v>
      </c>
      <c r="C265" s="23" t="s">
        <v>333</v>
      </c>
      <c r="D265" s="24">
        <v>41193</v>
      </c>
      <c r="E265" s="23">
        <v>1150</v>
      </c>
      <c r="F265" s="23">
        <v>46</v>
      </c>
      <c r="G265" s="23">
        <v>4</v>
      </c>
      <c r="H265" s="23">
        <v>0</v>
      </c>
      <c r="I265" s="65">
        <f t="shared" si="12"/>
        <v>0</v>
      </c>
      <c r="J265" s="65">
        <f t="shared" si="10"/>
        <v>4600</v>
      </c>
      <c r="K265" s="65">
        <f t="shared" si="11"/>
        <v>48300</v>
      </c>
      <c r="L265"/>
      <c r="M265"/>
      <c r="N265"/>
    </row>
    <row r="266" spans="1:14" ht="15">
      <c r="A266" s="23" t="s">
        <v>363</v>
      </c>
      <c r="B266" s="23" t="s">
        <v>336</v>
      </c>
      <c r="C266" s="23" t="s">
        <v>337</v>
      </c>
      <c r="D266" s="24">
        <v>41193</v>
      </c>
      <c r="E266" s="23">
        <v>2000</v>
      </c>
      <c r="F266" s="23">
        <v>26</v>
      </c>
      <c r="G266" s="23">
        <v>4</v>
      </c>
      <c r="H266" s="23">
        <v>750</v>
      </c>
      <c r="I266" s="65">
        <f t="shared" si="12"/>
        <v>0</v>
      </c>
      <c r="J266" s="65">
        <f t="shared" si="10"/>
        <v>8000</v>
      </c>
      <c r="K266" s="65">
        <f t="shared" si="11"/>
        <v>44750</v>
      </c>
      <c r="L266"/>
      <c r="M266"/>
      <c r="N266"/>
    </row>
    <row r="267" spans="1:14" ht="15">
      <c r="A267" s="23" t="s">
        <v>340</v>
      </c>
      <c r="B267" s="23" t="s">
        <v>332</v>
      </c>
      <c r="C267" s="23" t="s">
        <v>355</v>
      </c>
      <c r="D267" s="24">
        <v>41195</v>
      </c>
      <c r="E267" s="23">
        <v>780</v>
      </c>
      <c r="F267" s="23">
        <v>31</v>
      </c>
      <c r="G267" s="23">
        <v>4</v>
      </c>
      <c r="H267" s="23">
        <v>750</v>
      </c>
      <c r="I267" s="65">
        <f t="shared" si="12"/>
        <v>0</v>
      </c>
      <c r="J267" s="65">
        <f t="shared" si="10"/>
        <v>3120</v>
      </c>
      <c r="K267" s="65">
        <f t="shared" si="11"/>
        <v>21810</v>
      </c>
      <c r="L267"/>
      <c r="M267"/>
      <c r="N267"/>
    </row>
    <row r="268" spans="1:14" ht="15">
      <c r="A268" s="23" t="s">
        <v>362</v>
      </c>
      <c r="B268" s="23" t="s">
        <v>332</v>
      </c>
      <c r="C268" s="23" t="s">
        <v>354</v>
      </c>
      <c r="D268" s="24">
        <v>41195</v>
      </c>
      <c r="E268" s="23">
        <v>2500</v>
      </c>
      <c r="F268" s="23">
        <v>47</v>
      </c>
      <c r="G268" s="23">
        <v>4</v>
      </c>
      <c r="H268" s="23">
        <v>0</v>
      </c>
      <c r="I268" s="65">
        <f t="shared" si="12"/>
        <v>0</v>
      </c>
      <c r="J268" s="65">
        <f t="shared" ref="J268:J328" si="13">E268 * G268</f>
        <v>10000</v>
      </c>
      <c r="K268" s="65">
        <f t="shared" ref="K268:K328" si="14">(E268 - I268) * (F268 - G268) + H268</f>
        <v>107500</v>
      </c>
      <c r="L268"/>
      <c r="M268"/>
      <c r="N268"/>
    </row>
    <row r="269" spans="1:14" ht="15">
      <c r="A269" s="23" t="s">
        <v>331</v>
      </c>
      <c r="B269" s="23" t="s">
        <v>335</v>
      </c>
      <c r="C269" s="23" t="s">
        <v>333</v>
      </c>
      <c r="D269" s="24">
        <v>41198</v>
      </c>
      <c r="E269" s="23">
        <v>1950</v>
      </c>
      <c r="F269" s="23">
        <v>24</v>
      </c>
      <c r="G269" s="23">
        <v>0</v>
      </c>
      <c r="H269" s="23">
        <v>750</v>
      </c>
      <c r="I269" s="65">
        <f t="shared" si="12"/>
        <v>0</v>
      </c>
      <c r="J269" s="65">
        <f t="shared" si="13"/>
        <v>0</v>
      </c>
      <c r="K269" s="65">
        <f t="shared" si="14"/>
        <v>47550</v>
      </c>
      <c r="L269"/>
      <c r="M269"/>
      <c r="N269"/>
    </row>
    <row r="270" spans="1:14" ht="15">
      <c r="A270" s="23" t="s">
        <v>340</v>
      </c>
      <c r="B270" s="23" t="s">
        <v>328</v>
      </c>
      <c r="C270" s="23" t="s">
        <v>352</v>
      </c>
      <c r="D270" s="24">
        <v>41202</v>
      </c>
      <c r="E270" s="23">
        <v>1150</v>
      </c>
      <c r="F270" s="23">
        <v>31</v>
      </c>
      <c r="G270" s="23">
        <v>1</v>
      </c>
      <c r="H270" s="23">
        <v>750</v>
      </c>
      <c r="I270" s="65">
        <f t="shared" si="12"/>
        <v>0</v>
      </c>
      <c r="J270" s="65">
        <f t="shared" si="13"/>
        <v>1150</v>
      </c>
      <c r="K270" s="65">
        <f t="shared" si="14"/>
        <v>35250</v>
      </c>
      <c r="L270"/>
      <c r="M270"/>
      <c r="N270"/>
    </row>
    <row r="271" spans="1:14" ht="15">
      <c r="A271" s="23" t="s">
        <v>362</v>
      </c>
      <c r="B271" s="23" t="s">
        <v>329</v>
      </c>
      <c r="C271" s="23" t="s">
        <v>354</v>
      </c>
      <c r="D271" s="24">
        <v>41203</v>
      </c>
      <c r="E271" s="23">
        <v>3300</v>
      </c>
      <c r="F271" s="23">
        <v>19</v>
      </c>
      <c r="G271" s="23">
        <v>0</v>
      </c>
      <c r="H271" s="23">
        <v>1000</v>
      </c>
      <c r="I271" s="65">
        <f t="shared" si="12"/>
        <v>0</v>
      </c>
      <c r="J271" s="65">
        <f t="shared" si="13"/>
        <v>0</v>
      </c>
      <c r="K271" s="65">
        <f t="shared" si="14"/>
        <v>63700</v>
      </c>
      <c r="L271"/>
      <c r="M271"/>
      <c r="N271"/>
    </row>
    <row r="272" spans="1:14" ht="15">
      <c r="A272" s="23" t="s">
        <v>331</v>
      </c>
      <c r="B272" s="23" t="s">
        <v>339</v>
      </c>
      <c r="C272" s="23" t="s">
        <v>352</v>
      </c>
      <c r="D272" s="24">
        <v>41203</v>
      </c>
      <c r="E272" s="23">
        <v>1750</v>
      </c>
      <c r="F272" s="23">
        <v>40</v>
      </c>
      <c r="G272" s="23">
        <v>0</v>
      </c>
      <c r="H272" s="23">
        <v>750</v>
      </c>
      <c r="I272" s="65">
        <f t="shared" si="12"/>
        <v>0</v>
      </c>
      <c r="J272" s="65">
        <f t="shared" si="13"/>
        <v>0</v>
      </c>
      <c r="K272" s="65">
        <f t="shared" si="14"/>
        <v>70750</v>
      </c>
      <c r="L272"/>
      <c r="M272"/>
      <c r="N272"/>
    </row>
    <row r="273" spans="1:14" ht="15">
      <c r="A273" s="23" t="s">
        <v>326</v>
      </c>
      <c r="B273" s="23" t="s">
        <v>327</v>
      </c>
      <c r="C273" s="23" t="s">
        <v>333</v>
      </c>
      <c r="D273" s="24">
        <v>41208</v>
      </c>
      <c r="E273" s="23">
        <v>3880</v>
      </c>
      <c r="F273" s="23">
        <v>12</v>
      </c>
      <c r="G273" s="23">
        <v>4</v>
      </c>
      <c r="H273" s="23">
        <v>1000</v>
      </c>
      <c r="I273" s="65">
        <f t="shared" si="12"/>
        <v>0</v>
      </c>
      <c r="J273" s="65">
        <f t="shared" si="13"/>
        <v>15520</v>
      </c>
      <c r="K273" s="65">
        <f t="shared" si="14"/>
        <v>32040</v>
      </c>
      <c r="L273"/>
      <c r="M273"/>
      <c r="N273"/>
    </row>
    <row r="274" spans="1:14" ht="15">
      <c r="A274" s="23" t="s">
        <v>326</v>
      </c>
      <c r="B274" s="23" t="s">
        <v>328</v>
      </c>
      <c r="C274" s="23" t="s">
        <v>355</v>
      </c>
      <c r="D274" s="24">
        <v>41210</v>
      </c>
      <c r="E274" s="23">
        <v>4300</v>
      </c>
      <c r="F274" s="23">
        <v>36</v>
      </c>
      <c r="G274" s="23">
        <v>3</v>
      </c>
      <c r="H274" s="23">
        <v>750</v>
      </c>
      <c r="I274" s="65">
        <f t="shared" si="12"/>
        <v>0</v>
      </c>
      <c r="J274" s="65">
        <f t="shared" si="13"/>
        <v>12900</v>
      </c>
      <c r="K274" s="65">
        <f t="shared" si="14"/>
        <v>142650</v>
      </c>
      <c r="L274"/>
      <c r="M274"/>
      <c r="N274"/>
    </row>
    <row r="275" spans="1:14" ht="15">
      <c r="A275" s="23" t="s">
        <v>330</v>
      </c>
      <c r="B275" s="23" t="s">
        <v>332</v>
      </c>
      <c r="C275" s="23" t="s">
        <v>354</v>
      </c>
      <c r="D275" s="24">
        <v>41210</v>
      </c>
      <c r="E275" s="23">
        <v>2600</v>
      </c>
      <c r="F275" s="23">
        <v>10</v>
      </c>
      <c r="G275" s="23">
        <v>2</v>
      </c>
      <c r="H275" s="23">
        <v>1000</v>
      </c>
      <c r="I275" s="65">
        <f t="shared" si="12"/>
        <v>0</v>
      </c>
      <c r="J275" s="65">
        <f t="shared" si="13"/>
        <v>5200</v>
      </c>
      <c r="K275" s="65">
        <f t="shared" si="14"/>
        <v>21800</v>
      </c>
      <c r="L275"/>
      <c r="M275"/>
      <c r="N275"/>
    </row>
    <row r="276" spans="1:14" ht="15">
      <c r="A276" s="23" t="s">
        <v>363</v>
      </c>
      <c r="B276" s="23" t="s">
        <v>334</v>
      </c>
      <c r="C276" s="23" t="s">
        <v>354</v>
      </c>
      <c r="D276" s="24">
        <v>41211</v>
      </c>
      <c r="E276" s="23">
        <v>1680</v>
      </c>
      <c r="F276" s="23">
        <v>31</v>
      </c>
      <c r="G276" s="23">
        <v>3</v>
      </c>
      <c r="H276" s="23">
        <v>750</v>
      </c>
      <c r="I276" s="65">
        <f t="shared" si="12"/>
        <v>0</v>
      </c>
      <c r="J276" s="65">
        <f t="shared" si="13"/>
        <v>5040</v>
      </c>
      <c r="K276" s="65">
        <f t="shared" si="14"/>
        <v>47790</v>
      </c>
      <c r="L276"/>
      <c r="M276"/>
      <c r="N276"/>
    </row>
    <row r="277" spans="1:14" ht="15">
      <c r="A277" s="23" t="s">
        <v>324</v>
      </c>
      <c r="B277" s="23" t="s">
        <v>327</v>
      </c>
      <c r="C277" s="23" t="s">
        <v>355</v>
      </c>
      <c r="D277" s="24">
        <v>41211</v>
      </c>
      <c r="E277" s="23">
        <v>4700</v>
      </c>
      <c r="F277" s="23">
        <v>34</v>
      </c>
      <c r="G277" s="23">
        <v>1</v>
      </c>
      <c r="H277" s="23">
        <v>750</v>
      </c>
      <c r="I277" s="65">
        <f t="shared" si="12"/>
        <v>0</v>
      </c>
      <c r="J277" s="65">
        <f t="shared" si="13"/>
        <v>4700</v>
      </c>
      <c r="K277" s="65">
        <f t="shared" si="14"/>
        <v>155850</v>
      </c>
      <c r="L277"/>
      <c r="M277"/>
      <c r="N277"/>
    </row>
    <row r="278" spans="1:14" ht="15">
      <c r="A278" s="23" t="s">
        <v>324</v>
      </c>
      <c r="B278" s="23" t="s">
        <v>327</v>
      </c>
      <c r="C278" s="23" t="s">
        <v>352</v>
      </c>
      <c r="D278" s="24">
        <v>41216</v>
      </c>
      <c r="E278" s="23">
        <v>4700</v>
      </c>
      <c r="F278" s="23">
        <v>49</v>
      </c>
      <c r="G278" s="23">
        <v>0</v>
      </c>
      <c r="H278" s="23">
        <v>0</v>
      </c>
      <c r="I278" s="65">
        <f t="shared" si="12"/>
        <v>0</v>
      </c>
      <c r="J278" s="65">
        <f t="shared" si="13"/>
        <v>0</v>
      </c>
      <c r="K278" s="65">
        <f t="shared" si="14"/>
        <v>230300</v>
      </c>
      <c r="L278"/>
      <c r="M278"/>
      <c r="N278"/>
    </row>
    <row r="279" spans="1:14" ht="15">
      <c r="A279" s="23" t="s">
        <v>324</v>
      </c>
      <c r="B279" s="23" t="s">
        <v>344</v>
      </c>
      <c r="C279" s="23" t="s">
        <v>337</v>
      </c>
      <c r="D279" s="24">
        <v>41216</v>
      </c>
      <c r="E279" s="23">
        <v>4580</v>
      </c>
      <c r="F279" s="23">
        <v>44</v>
      </c>
      <c r="G279" s="23">
        <v>3</v>
      </c>
      <c r="H279" s="23">
        <v>0</v>
      </c>
      <c r="I279" s="65">
        <f t="shared" si="12"/>
        <v>0</v>
      </c>
      <c r="J279" s="65">
        <f t="shared" si="13"/>
        <v>13740</v>
      </c>
      <c r="K279" s="65">
        <f t="shared" si="14"/>
        <v>187780</v>
      </c>
      <c r="L279"/>
      <c r="M279"/>
      <c r="N279"/>
    </row>
    <row r="280" spans="1:14" ht="15">
      <c r="A280" s="23" t="s">
        <v>343</v>
      </c>
      <c r="B280" s="23" t="s">
        <v>329</v>
      </c>
      <c r="C280" s="23" t="s">
        <v>352</v>
      </c>
      <c r="D280" s="24">
        <v>41217</v>
      </c>
      <c r="E280" s="23">
        <v>1250</v>
      </c>
      <c r="F280" s="23">
        <v>47</v>
      </c>
      <c r="G280" s="23">
        <v>0</v>
      </c>
      <c r="H280" s="23">
        <v>0</v>
      </c>
      <c r="I280" s="65">
        <f t="shared" si="12"/>
        <v>0</v>
      </c>
      <c r="J280" s="65">
        <f t="shared" si="13"/>
        <v>0</v>
      </c>
      <c r="K280" s="65">
        <f t="shared" si="14"/>
        <v>58750</v>
      </c>
      <c r="L280"/>
      <c r="M280"/>
      <c r="N280"/>
    </row>
    <row r="281" spans="1:14" ht="15">
      <c r="A281" s="23" t="s">
        <v>326</v>
      </c>
      <c r="B281" s="23" t="s">
        <v>336</v>
      </c>
      <c r="C281" s="23" t="s">
        <v>337</v>
      </c>
      <c r="D281" s="24">
        <v>41218</v>
      </c>
      <c r="E281" s="23">
        <v>4100</v>
      </c>
      <c r="F281" s="23">
        <v>17</v>
      </c>
      <c r="G281" s="23">
        <v>2</v>
      </c>
      <c r="H281" s="23">
        <v>1000</v>
      </c>
      <c r="I281" s="65">
        <f t="shared" si="12"/>
        <v>0</v>
      </c>
      <c r="J281" s="65">
        <f t="shared" si="13"/>
        <v>8200</v>
      </c>
      <c r="K281" s="65">
        <f t="shared" si="14"/>
        <v>62500</v>
      </c>
      <c r="L281"/>
      <c r="M281"/>
      <c r="N281"/>
    </row>
    <row r="282" spans="1:14" ht="15">
      <c r="A282" s="23" t="s">
        <v>341</v>
      </c>
      <c r="B282" s="23" t="s">
        <v>334</v>
      </c>
      <c r="C282" s="23" t="s">
        <v>337</v>
      </c>
      <c r="D282" s="24">
        <v>41219</v>
      </c>
      <c r="E282" s="23">
        <v>4590</v>
      </c>
      <c r="F282" s="23">
        <v>19</v>
      </c>
      <c r="G282" s="23">
        <v>4</v>
      </c>
      <c r="H282" s="23">
        <v>1000</v>
      </c>
      <c r="I282" s="65">
        <f t="shared" si="12"/>
        <v>0</v>
      </c>
      <c r="J282" s="65">
        <f t="shared" si="13"/>
        <v>18360</v>
      </c>
      <c r="K282" s="65">
        <f t="shared" si="14"/>
        <v>69850</v>
      </c>
      <c r="L282"/>
      <c r="M282"/>
      <c r="N282"/>
    </row>
    <row r="283" spans="1:14" ht="15">
      <c r="A283" s="23" t="s">
        <v>363</v>
      </c>
      <c r="B283" s="23" t="s">
        <v>334</v>
      </c>
      <c r="C283" s="23" t="s">
        <v>333</v>
      </c>
      <c r="D283" s="24">
        <v>41221</v>
      </c>
      <c r="E283" s="23">
        <v>1560</v>
      </c>
      <c r="F283" s="23">
        <v>30</v>
      </c>
      <c r="G283" s="23">
        <v>2</v>
      </c>
      <c r="H283" s="23">
        <v>750</v>
      </c>
      <c r="I283" s="65">
        <f t="shared" si="12"/>
        <v>0</v>
      </c>
      <c r="J283" s="65">
        <f t="shared" si="13"/>
        <v>3120</v>
      </c>
      <c r="K283" s="65">
        <f t="shared" si="14"/>
        <v>44430</v>
      </c>
      <c r="L283"/>
      <c r="M283"/>
      <c r="N283"/>
    </row>
    <row r="284" spans="1:14" ht="15">
      <c r="A284" s="23" t="s">
        <v>330</v>
      </c>
      <c r="B284" s="23" t="s">
        <v>332</v>
      </c>
      <c r="C284" s="23" t="s">
        <v>352</v>
      </c>
      <c r="D284" s="24">
        <v>41221</v>
      </c>
      <c r="E284" s="23">
        <v>2540</v>
      </c>
      <c r="F284" s="23">
        <v>39</v>
      </c>
      <c r="G284" s="23">
        <v>0</v>
      </c>
      <c r="H284" s="23">
        <v>750</v>
      </c>
      <c r="I284" s="65">
        <f t="shared" si="12"/>
        <v>0</v>
      </c>
      <c r="J284" s="65">
        <f t="shared" si="13"/>
        <v>0</v>
      </c>
      <c r="K284" s="65">
        <f t="shared" si="14"/>
        <v>99810</v>
      </c>
      <c r="L284"/>
      <c r="M284"/>
      <c r="N284"/>
    </row>
    <row r="285" spans="1:14" ht="15">
      <c r="A285" s="23" t="s">
        <v>324</v>
      </c>
      <c r="B285" s="23" t="s">
        <v>342</v>
      </c>
      <c r="C285" s="23" t="s">
        <v>352</v>
      </c>
      <c r="D285" s="24">
        <v>41222</v>
      </c>
      <c r="E285" s="23">
        <v>3750</v>
      </c>
      <c r="F285" s="23">
        <v>41</v>
      </c>
      <c r="G285" s="23">
        <v>3</v>
      </c>
      <c r="H285" s="23">
        <v>0</v>
      </c>
      <c r="I285" s="65">
        <f t="shared" si="12"/>
        <v>0</v>
      </c>
      <c r="J285" s="65">
        <f t="shared" si="13"/>
        <v>11250</v>
      </c>
      <c r="K285" s="65">
        <f t="shared" si="14"/>
        <v>142500</v>
      </c>
      <c r="L285"/>
      <c r="M285"/>
      <c r="N285"/>
    </row>
    <row r="286" spans="1:14" ht="15">
      <c r="A286" s="23" t="s">
        <v>362</v>
      </c>
      <c r="B286" s="23" t="s">
        <v>339</v>
      </c>
      <c r="C286" s="23" t="s">
        <v>333</v>
      </c>
      <c r="D286" s="24">
        <v>41222</v>
      </c>
      <c r="E286" s="23">
        <v>3250</v>
      </c>
      <c r="F286" s="23">
        <v>17</v>
      </c>
      <c r="G286" s="23">
        <v>2</v>
      </c>
      <c r="H286" s="23">
        <v>1000</v>
      </c>
      <c r="I286" s="65">
        <f t="shared" si="12"/>
        <v>0</v>
      </c>
      <c r="J286" s="65">
        <f t="shared" si="13"/>
        <v>6500</v>
      </c>
      <c r="K286" s="65">
        <f t="shared" si="14"/>
        <v>49750</v>
      </c>
      <c r="L286"/>
      <c r="M286"/>
      <c r="N286"/>
    </row>
    <row r="287" spans="1:14" ht="15">
      <c r="A287" s="23" t="s">
        <v>330</v>
      </c>
      <c r="B287" s="23" t="s">
        <v>334</v>
      </c>
      <c r="C287" s="23" t="s">
        <v>352</v>
      </c>
      <c r="D287" s="24">
        <v>41224</v>
      </c>
      <c r="E287" s="23">
        <v>2150</v>
      </c>
      <c r="F287" s="23">
        <v>18</v>
      </c>
      <c r="G287" s="23">
        <v>2</v>
      </c>
      <c r="H287" s="23">
        <v>1000</v>
      </c>
      <c r="I287" s="65">
        <f t="shared" si="12"/>
        <v>0</v>
      </c>
      <c r="J287" s="65">
        <f t="shared" si="13"/>
        <v>4300</v>
      </c>
      <c r="K287" s="65">
        <f t="shared" si="14"/>
        <v>35400</v>
      </c>
      <c r="L287"/>
      <c r="M287"/>
      <c r="N287"/>
    </row>
    <row r="288" spans="1:14" ht="15">
      <c r="A288" s="23" t="s">
        <v>338</v>
      </c>
      <c r="B288" s="23" t="s">
        <v>339</v>
      </c>
      <c r="C288" s="23" t="s">
        <v>352</v>
      </c>
      <c r="D288" s="24">
        <v>41225</v>
      </c>
      <c r="E288" s="23">
        <v>1280</v>
      </c>
      <c r="F288" s="23">
        <v>21</v>
      </c>
      <c r="G288" s="23">
        <v>0</v>
      </c>
      <c r="H288" s="23">
        <v>750</v>
      </c>
      <c r="I288" s="65">
        <f t="shared" si="12"/>
        <v>0</v>
      </c>
      <c r="J288" s="65">
        <f t="shared" si="13"/>
        <v>0</v>
      </c>
      <c r="K288" s="65">
        <f t="shared" si="14"/>
        <v>27630</v>
      </c>
      <c r="L288"/>
      <c r="M288"/>
      <c r="N288"/>
    </row>
    <row r="289" spans="1:14" ht="15">
      <c r="A289" s="23" t="s">
        <v>363</v>
      </c>
      <c r="B289" s="23" t="s">
        <v>332</v>
      </c>
      <c r="C289" s="23" t="s">
        <v>352</v>
      </c>
      <c r="D289" s="24">
        <v>41226</v>
      </c>
      <c r="E289" s="23">
        <v>1650</v>
      </c>
      <c r="F289" s="23">
        <v>39</v>
      </c>
      <c r="G289" s="23">
        <v>3</v>
      </c>
      <c r="H289" s="23">
        <v>750</v>
      </c>
      <c r="I289" s="65">
        <f t="shared" si="12"/>
        <v>0</v>
      </c>
      <c r="J289" s="65">
        <f t="shared" si="13"/>
        <v>4950</v>
      </c>
      <c r="K289" s="65">
        <f t="shared" si="14"/>
        <v>60150</v>
      </c>
      <c r="L289"/>
      <c r="M289"/>
      <c r="N289"/>
    </row>
    <row r="290" spans="1:14" ht="15">
      <c r="A290" s="23" t="s">
        <v>330</v>
      </c>
      <c r="B290" s="23" t="s">
        <v>336</v>
      </c>
      <c r="C290" s="23" t="s">
        <v>353</v>
      </c>
      <c r="D290" s="24">
        <v>41226</v>
      </c>
      <c r="E290" s="23">
        <v>1790</v>
      </c>
      <c r="F290" s="23">
        <v>14</v>
      </c>
      <c r="G290" s="23">
        <v>4</v>
      </c>
      <c r="H290" s="23">
        <v>1000</v>
      </c>
      <c r="I290" s="65">
        <f t="shared" si="12"/>
        <v>0</v>
      </c>
      <c r="J290" s="65">
        <f t="shared" si="13"/>
        <v>7160</v>
      </c>
      <c r="K290" s="65">
        <f t="shared" si="14"/>
        <v>18900</v>
      </c>
      <c r="L290"/>
      <c r="M290"/>
      <c r="N290"/>
    </row>
    <row r="291" spans="1:14" ht="15">
      <c r="A291" s="23" t="s">
        <v>341</v>
      </c>
      <c r="B291" s="23" t="s">
        <v>334</v>
      </c>
      <c r="C291" s="23" t="s">
        <v>355</v>
      </c>
      <c r="D291" s="24">
        <v>41228</v>
      </c>
      <c r="E291" s="23">
        <v>4590</v>
      </c>
      <c r="F291" s="23">
        <v>27</v>
      </c>
      <c r="G291" s="23">
        <v>2</v>
      </c>
      <c r="H291" s="23">
        <v>750</v>
      </c>
      <c r="I291" s="65">
        <f t="shared" si="12"/>
        <v>0</v>
      </c>
      <c r="J291" s="65">
        <f t="shared" si="13"/>
        <v>9180</v>
      </c>
      <c r="K291" s="65">
        <f t="shared" si="14"/>
        <v>115500</v>
      </c>
      <c r="L291"/>
      <c r="M291"/>
      <c r="N291"/>
    </row>
    <row r="292" spans="1:14" ht="15">
      <c r="A292" s="23" t="s">
        <v>362</v>
      </c>
      <c r="B292" s="23" t="s">
        <v>334</v>
      </c>
      <c r="C292" s="23" t="s">
        <v>353</v>
      </c>
      <c r="D292" s="24">
        <v>41235</v>
      </c>
      <c r="E292" s="23">
        <v>2390</v>
      </c>
      <c r="F292" s="23">
        <v>50</v>
      </c>
      <c r="G292" s="23">
        <v>0</v>
      </c>
      <c r="H292" s="23">
        <v>0</v>
      </c>
      <c r="I292" s="65">
        <f t="shared" si="12"/>
        <v>0</v>
      </c>
      <c r="J292" s="65">
        <f t="shared" si="13"/>
        <v>0</v>
      </c>
      <c r="K292" s="65">
        <f t="shared" si="14"/>
        <v>119500</v>
      </c>
      <c r="L292"/>
      <c r="M292"/>
      <c r="N292"/>
    </row>
    <row r="293" spans="1:14" ht="15">
      <c r="A293" s="23" t="s">
        <v>326</v>
      </c>
      <c r="B293" s="23" t="s">
        <v>332</v>
      </c>
      <c r="C293" s="23" t="s">
        <v>337</v>
      </c>
      <c r="D293" s="24">
        <v>41236</v>
      </c>
      <c r="E293" s="23">
        <v>2900</v>
      </c>
      <c r="F293" s="23">
        <v>36</v>
      </c>
      <c r="G293" s="23">
        <v>3</v>
      </c>
      <c r="H293" s="23">
        <v>750</v>
      </c>
      <c r="I293" s="65">
        <f t="shared" si="12"/>
        <v>0</v>
      </c>
      <c r="J293" s="65">
        <f t="shared" si="13"/>
        <v>8700</v>
      </c>
      <c r="K293" s="65">
        <f t="shared" si="14"/>
        <v>96450</v>
      </c>
      <c r="L293"/>
      <c r="M293"/>
      <c r="N293"/>
    </row>
    <row r="294" spans="1:14" ht="15">
      <c r="A294" s="23" t="s">
        <v>330</v>
      </c>
      <c r="B294" s="23" t="s">
        <v>328</v>
      </c>
      <c r="C294" s="23" t="s">
        <v>337</v>
      </c>
      <c r="D294" s="24">
        <v>41238</v>
      </c>
      <c r="E294" s="23">
        <v>3900</v>
      </c>
      <c r="F294" s="23">
        <v>41</v>
      </c>
      <c r="G294" s="23">
        <v>0</v>
      </c>
      <c r="H294" s="23">
        <v>0</v>
      </c>
      <c r="I294" s="65">
        <f t="shared" si="12"/>
        <v>0</v>
      </c>
      <c r="J294" s="65">
        <f t="shared" si="13"/>
        <v>0</v>
      </c>
      <c r="K294" s="65">
        <f t="shared" si="14"/>
        <v>159900</v>
      </c>
      <c r="L294"/>
      <c r="M294"/>
      <c r="N294"/>
    </row>
    <row r="295" spans="1:14" ht="15">
      <c r="A295" s="23" t="s">
        <v>362</v>
      </c>
      <c r="B295" s="23" t="s">
        <v>328</v>
      </c>
      <c r="C295" s="23" t="s">
        <v>353</v>
      </c>
      <c r="D295" s="24">
        <v>41238</v>
      </c>
      <c r="E295" s="23">
        <v>1370</v>
      </c>
      <c r="F295" s="23">
        <v>38</v>
      </c>
      <c r="G295" s="23">
        <v>4</v>
      </c>
      <c r="H295" s="23">
        <v>750</v>
      </c>
      <c r="I295" s="65">
        <f t="shared" si="12"/>
        <v>0</v>
      </c>
      <c r="J295" s="65">
        <f t="shared" si="13"/>
        <v>5480</v>
      </c>
      <c r="K295" s="65">
        <f t="shared" si="14"/>
        <v>47330</v>
      </c>
      <c r="L295"/>
      <c r="M295"/>
      <c r="N295"/>
    </row>
    <row r="296" spans="1:14" ht="15">
      <c r="A296" s="23" t="s">
        <v>324</v>
      </c>
      <c r="B296" s="23" t="s">
        <v>327</v>
      </c>
      <c r="C296" s="23" t="s">
        <v>337</v>
      </c>
      <c r="D296" s="24">
        <v>41239</v>
      </c>
      <c r="E296" s="23">
        <v>4750</v>
      </c>
      <c r="F296" s="23">
        <v>10</v>
      </c>
      <c r="G296" s="23">
        <v>3</v>
      </c>
      <c r="H296" s="23">
        <v>1000</v>
      </c>
      <c r="I296" s="65">
        <f t="shared" si="12"/>
        <v>190</v>
      </c>
      <c r="J296" s="65">
        <f t="shared" si="13"/>
        <v>14250</v>
      </c>
      <c r="K296" s="65">
        <f t="shared" si="14"/>
        <v>32920</v>
      </c>
      <c r="L296"/>
      <c r="M296"/>
      <c r="N296"/>
    </row>
    <row r="297" spans="1:14" ht="15">
      <c r="A297" s="23" t="s">
        <v>326</v>
      </c>
      <c r="B297" s="23" t="s">
        <v>336</v>
      </c>
      <c r="C297" s="23" t="s">
        <v>354</v>
      </c>
      <c r="D297" s="24">
        <v>41241</v>
      </c>
      <c r="E297" s="23">
        <v>4100</v>
      </c>
      <c r="F297" s="23">
        <v>18</v>
      </c>
      <c r="G297" s="23">
        <v>1</v>
      </c>
      <c r="H297" s="23">
        <v>1000</v>
      </c>
      <c r="I297" s="65">
        <f t="shared" si="12"/>
        <v>0</v>
      </c>
      <c r="J297" s="65">
        <f t="shared" si="13"/>
        <v>4100</v>
      </c>
      <c r="K297" s="65">
        <f t="shared" si="14"/>
        <v>70700</v>
      </c>
      <c r="L297"/>
      <c r="M297"/>
      <c r="N297"/>
    </row>
    <row r="298" spans="1:14" ht="15">
      <c r="A298" s="23" t="s">
        <v>324</v>
      </c>
      <c r="B298" s="23" t="s">
        <v>344</v>
      </c>
      <c r="C298" s="23" t="s">
        <v>352</v>
      </c>
      <c r="D298" s="24">
        <v>41242</v>
      </c>
      <c r="E298" s="23">
        <v>4500</v>
      </c>
      <c r="F298" s="23">
        <v>28</v>
      </c>
      <c r="G298" s="23">
        <v>3</v>
      </c>
      <c r="H298" s="23">
        <v>750</v>
      </c>
      <c r="I298" s="65">
        <f t="shared" si="12"/>
        <v>0</v>
      </c>
      <c r="J298" s="65">
        <f t="shared" si="13"/>
        <v>13500</v>
      </c>
      <c r="K298" s="65">
        <f t="shared" si="14"/>
        <v>113250</v>
      </c>
      <c r="L298"/>
      <c r="M298"/>
      <c r="N298"/>
    </row>
    <row r="299" spans="1:14" ht="15">
      <c r="A299" s="23" t="s">
        <v>362</v>
      </c>
      <c r="B299" s="23" t="s">
        <v>335</v>
      </c>
      <c r="C299" s="23" t="s">
        <v>353</v>
      </c>
      <c r="D299" s="24">
        <v>41244</v>
      </c>
      <c r="E299" s="23">
        <v>4800</v>
      </c>
      <c r="F299" s="23">
        <v>48</v>
      </c>
      <c r="G299" s="23">
        <v>3</v>
      </c>
      <c r="H299" s="23">
        <v>0</v>
      </c>
      <c r="I299" s="65">
        <f t="shared" si="12"/>
        <v>0</v>
      </c>
      <c r="J299" s="65">
        <f t="shared" si="13"/>
        <v>14400</v>
      </c>
      <c r="K299" s="65">
        <f t="shared" si="14"/>
        <v>216000</v>
      </c>
      <c r="L299"/>
      <c r="M299"/>
      <c r="N299"/>
    </row>
    <row r="300" spans="1:14" ht="15">
      <c r="A300" s="23" t="s">
        <v>362</v>
      </c>
      <c r="B300" s="23" t="s">
        <v>336</v>
      </c>
      <c r="C300" s="23" t="s">
        <v>352</v>
      </c>
      <c r="D300" s="24">
        <v>41244</v>
      </c>
      <c r="E300" s="23">
        <v>1990</v>
      </c>
      <c r="F300" s="23">
        <v>18</v>
      </c>
      <c r="G300" s="23">
        <v>0</v>
      </c>
      <c r="H300" s="23">
        <v>1000</v>
      </c>
      <c r="I300" s="65">
        <f t="shared" si="12"/>
        <v>0</v>
      </c>
      <c r="J300" s="65">
        <f t="shared" si="13"/>
        <v>0</v>
      </c>
      <c r="K300" s="65">
        <f t="shared" si="14"/>
        <v>36820</v>
      </c>
      <c r="L300"/>
      <c r="M300"/>
      <c r="N300"/>
    </row>
    <row r="301" spans="1:14" ht="15">
      <c r="A301" s="23" t="s">
        <v>331</v>
      </c>
      <c r="B301" s="23" t="s">
        <v>339</v>
      </c>
      <c r="C301" s="23" t="s">
        <v>354</v>
      </c>
      <c r="D301" s="24">
        <v>41244</v>
      </c>
      <c r="E301" s="23">
        <v>1800</v>
      </c>
      <c r="F301" s="23">
        <v>44</v>
      </c>
      <c r="G301" s="23">
        <v>1</v>
      </c>
      <c r="H301" s="23">
        <v>0</v>
      </c>
      <c r="I301" s="65">
        <f t="shared" si="12"/>
        <v>0</v>
      </c>
      <c r="J301" s="65">
        <f t="shared" si="13"/>
        <v>1800</v>
      </c>
      <c r="K301" s="65">
        <f t="shared" si="14"/>
        <v>77400</v>
      </c>
      <c r="L301"/>
      <c r="M301"/>
      <c r="N301"/>
    </row>
    <row r="302" spans="1:14" ht="15">
      <c r="A302" s="23" t="s">
        <v>343</v>
      </c>
      <c r="B302" s="23" t="s">
        <v>329</v>
      </c>
      <c r="C302" s="23" t="s">
        <v>353</v>
      </c>
      <c r="D302" s="24">
        <v>41244</v>
      </c>
      <c r="E302" s="23">
        <v>1250</v>
      </c>
      <c r="F302" s="23">
        <v>13</v>
      </c>
      <c r="G302" s="23">
        <v>0</v>
      </c>
      <c r="H302" s="23">
        <v>1000</v>
      </c>
      <c r="I302" s="65">
        <f t="shared" si="12"/>
        <v>0</v>
      </c>
      <c r="J302" s="65">
        <f t="shared" si="13"/>
        <v>0</v>
      </c>
      <c r="K302" s="65">
        <f t="shared" si="14"/>
        <v>17250</v>
      </c>
      <c r="L302"/>
      <c r="M302"/>
      <c r="N302"/>
    </row>
    <row r="303" spans="1:14" ht="15">
      <c r="A303" s="23" t="s">
        <v>326</v>
      </c>
      <c r="B303" s="23" t="s">
        <v>335</v>
      </c>
      <c r="C303" s="23" t="s">
        <v>355</v>
      </c>
      <c r="D303" s="24">
        <v>41247</v>
      </c>
      <c r="E303" s="23">
        <v>3000</v>
      </c>
      <c r="F303" s="23">
        <v>37</v>
      </c>
      <c r="G303" s="23">
        <v>0</v>
      </c>
      <c r="H303" s="23">
        <v>750</v>
      </c>
      <c r="I303" s="65">
        <f t="shared" si="12"/>
        <v>0</v>
      </c>
      <c r="J303" s="65">
        <f t="shared" si="13"/>
        <v>0</v>
      </c>
      <c r="K303" s="65">
        <f t="shared" si="14"/>
        <v>111750</v>
      </c>
      <c r="L303"/>
      <c r="M303"/>
      <c r="N303"/>
    </row>
    <row r="304" spans="1:14" ht="15">
      <c r="A304" s="23" t="s">
        <v>330</v>
      </c>
      <c r="B304" s="23" t="s">
        <v>328</v>
      </c>
      <c r="C304" s="23" t="s">
        <v>354</v>
      </c>
      <c r="D304" s="24">
        <v>41247</v>
      </c>
      <c r="E304" s="23">
        <v>3900</v>
      </c>
      <c r="F304" s="23">
        <v>38</v>
      </c>
      <c r="G304" s="23">
        <v>0</v>
      </c>
      <c r="H304" s="23">
        <v>750</v>
      </c>
      <c r="I304" s="65">
        <f t="shared" si="12"/>
        <v>0</v>
      </c>
      <c r="J304" s="65">
        <f t="shared" si="13"/>
        <v>0</v>
      </c>
      <c r="K304" s="65">
        <f t="shared" si="14"/>
        <v>148950</v>
      </c>
      <c r="L304"/>
      <c r="M304"/>
      <c r="N304"/>
    </row>
    <row r="305" spans="1:14" ht="15">
      <c r="A305" s="23" t="s">
        <v>331</v>
      </c>
      <c r="B305" s="23" t="s">
        <v>332</v>
      </c>
      <c r="C305" s="23" t="s">
        <v>337</v>
      </c>
      <c r="D305" s="24">
        <v>41247</v>
      </c>
      <c r="E305" s="23">
        <v>1150</v>
      </c>
      <c r="F305" s="23">
        <v>38</v>
      </c>
      <c r="G305" s="23">
        <v>2</v>
      </c>
      <c r="H305" s="23">
        <v>750</v>
      </c>
      <c r="I305" s="65">
        <f t="shared" si="12"/>
        <v>0</v>
      </c>
      <c r="J305" s="65">
        <f t="shared" si="13"/>
        <v>2300</v>
      </c>
      <c r="K305" s="65">
        <f t="shared" si="14"/>
        <v>42150</v>
      </c>
      <c r="L305"/>
      <c r="M305"/>
      <c r="N305"/>
    </row>
    <row r="306" spans="1:14" ht="15">
      <c r="A306" s="23" t="s">
        <v>338</v>
      </c>
      <c r="B306" s="23" t="s">
        <v>332</v>
      </c>
      <c r="C306" s="23" t="s">
        <v>352</v>
      </c>
      <c r="D306" s="24">
        <v>41248</v>
      </c>
      <c r="E306" s="23">
        <v>1490</v>
      </c>
      <c r="F306" s="23">
        <v>47</v>
      </c>
      <c r="G306" s="23">
        <v>0</v>
      </c>
      <c r="H306" s="23">
        <v>0</v>
      </c>
      <c r="I306" s="65">
        <f t="shared" si="12"/>
        <v>0</v>
      </c>
      <c r="J306" s="65">
        <f t="shared" si="13"/>
        <v>0</v>
      </c>
      <c r="K306" s="65">
        <f t="shared" si="14"/>
        <v>70030</v>
      </c>
      <c r="L306"/>
      <c r="M306"/>
      <c r="N306"/>
    </row>
    <row r="307" spans="1:14" ht="15">
      <c r="A307" s="23" t="s">
        <v>340</v>
      </c>
      <c r="B307" s="23" t="s">
        <v>336</v>
      </c>
      <c r="C307" s="23" t="s">
        <v>355</v>
      </c>
      <c r="D307" s="24">
        <v>41248</v>
      </c>
      <c r="E307" s="23">
        <v>1200</v>
      </c>
      <c r="F307" s="23">
        <v>39</v>
      </c>
      <c r="G307" s="23">
        <v>0</v>
      </c>
      <c r="H307" s="23">
        <v>750</v>
      </c>
      <c r="I307" s="65">
        <f t="shared" ref="I307:I328" si="15">IF(AND(C307="Легкість буття", E307&gt;4000, A307="Мясорубка", OR(B307="Kenwoodik", B307="Tefalka")), E307*0.05,
 IF(AND(C307="Смак Компані", B307="Kenwoodik", A307="Мясорубка"), E307*0.1,
 IF(AND(B307="Panasonika", E307&gt;4710), E307*0.04, 0)))</f>
        <v>0</v>
      </c>
      <c r="J307" s="65">
        <f t="shared" si="13"/>
        <v>0</v>
      </c>
      <c r="K307" s="65">
        <f t="shared" si="14"/>
        <v>47550</v>
      </c>
      <c r="L307"/>
      <c r="M307"/>
      <c r="N307"/>
    </row>
    <row r="308" spans="1:14" ht="15">
      <c r="A308" s="23" t="s">
        <v>343</v>
      </c>
      <c r="B308" s="23" t="s">
        <v>332</v>
      </c>
      <c r="C308" s="23" t="s">
        <v>353</v>
      </c>
      <c r="D308" s="24">
        <v>41248</v>
      </c>
      <c r="E308" s="23">
        <v>1650</v>
      </c>
      <c r="F308" s="23">
        <v>39</v>
      </c>
      <c r="G308" s="23">
        <v>4</v>
      </c>
      <c r="H308" s="23">
        <v>750</v>
      </c>
      <c r="I308" s="65">
        <f t="shared" si="15"/>
        <v>0</v>
      </c>
      <c r="J308" s="65">
        <f t="shared" si="13"/>
        <v>6600</v>
      </c>
      <c r="K308" s="65">
        <f t="shared" si="14"/>
        <v>58500</v>
      </c>
      <c r="L308"/>
      <c r="M308"/>
      <c r="N308"/>
    </row>
    <row r="309" spans="1:14" ht="15">
      <c r="A309" s="23" t="s">
        <v>343</v>
      </c>
      <c r="B309" s="23" t="s">
        <v>332</v>
      </c>
      <c r="C309" s="23" t="s">
        <v>354</v>
      </c>
      <c r="D309" s="24">
        <v>41251</v>
      </c>
      <c r="E309" s="23">
        <v>1660</v>
      </c>
      <c r="F309" s="23">
        <v>44</v>
      </c>
      <c r="G309" s="23">
        <v>3</v>
      </c>
      <c r="H309" s="23">
        <v>0</v>
      </c>
      <c r="I309" s="65">
        <f t="shared" si="15"/>
        <v>0</v>
      </c>
      <c r="J309" s="65">
        <f t="shared" si="13"/>
        <v>4980</v>
      </c>
      <c r="K309" s="65">
        <f t="shared" si="14"/>
        <v>68060</v>
      </c>
      <c r="L309"/>
      <c r="M309"/>
      <c r="N309"/>
    </row>
    <row r="310" spans="1:14" ht="15">
      <c r="A310" s="23" t="s">
        <v>330</v>
      </c>
      <c r="B310" s="23" t="s">
        <v>334</v>
      </c>
      <c r="C310" s="23" t="s">
        <v>355</v>
      </c>
      <c r="D310" s="24">
        <v>41254</v>
      </c>
      <c r="E310" s="23">
        <v>2300</v>
      </c>
      <c r="F310" s="23">
        <v>34</v>
      </c>
      <c r="G310" s="23">
        <v>4</v>
      </c>
      <c r="H310" s="23">
        <v>750</v>
      </c>
      <c r="I310" s="65">
        <f t="shared" si="15"/>
        <v>0</v>
      </c>
      <c r="J310" s="65">
        <f t="shared" si="13"/>
        <v>9200</v>
      </c>
      <c r="K310" s="65">
        <f t="shared" si="14"/>
        <v>69750</v>
      </c>
      <c r="L310"/>
      <c r="M310"/>
      <c r="N310"/>
    </row>
    <row r="311" spans="1:14" ht="15">
      <c r="A311" s="23" t="s">
        <v>330</v>
      </c>
      <c r="B311" s="23" t="s">
        <v>329</v>
      </c>
      <c r="C311" s="23" t="s">
        <v>337</v>
      </c>
      <c r="D311" s="24">
        <v>41256</v>
      </c>
      <c r="E311" s="23">
        <v>2600</v>
      </c>
      <c r="F311" s="23">
        <v>32</v>
      </c>
      <c r="G311" s="23">
        <v>0</v>
      </c>
      <c r="H311" s="23">
        <v>750</v>
      </c>
      <c r="I311" s="65">
        <f t="shared" si="15"/>
        <v>0</v>
      </c>
      <c r="J311" s="65">
        <f t="shared" si="13"/>
        <v>0</v>
      </c>
      <c r="K311" s="65">
        <f t="shared" si="14"/>
        <v>83950</v>
      </c>
      <c r="L311"/>
      <c r="M311"/>
      <c r="N311"/>
    </row>
    <row r="312" spans="1:14" ht="15">
      <c r="A312" s="23" t="s">
        <v>362</v>
      </c>
      <c r="B312" s="23" t="s">
        <v>339</v>
      </c>
      <c r="C312" s="23" t="s">
        <v>337</v>
      </c>
      <c r="D312" s="24">
        <v>41256</v>
      </c>
      <c r="E312" s="23">
        <v>3200</v>
      </c>
      <c r="F312" s="23">
        <v>29</v>
      </c>
      <c r="G312" s="23">
        <v>0</v>
      </c>
      <c r="H312" s="23">
        <v>750</v>
      </c>
      <c r="I312" s="65">
        <f t="shared" si="15"/>
        <v>0</v>
      </c>
      <c r="J312" s="65">
        <f t="shared" si="13"/>
        <v>0</v>
      </c>
      <c r="K312" s="65">
        <f t="shared" si="14"/>
        <v>93550</v>
      </c>
      <c r="L312"/>
      <c r="M312"/>
      <c r="N312"/>
    </row>
    <row r="313" spans="1:14" ht="15">
      <c r="A313" s="23" t="s">
        <v>363</v>
      </c>
      <c r="B313" s="23" t="s">
        <v>332</v>
      </c>
      <c r="C313" s="23" t="s">
        <v>337</v>
      </c>
      <c r="D313" s="24">
        <v>41257</v>
      </c>
      <c r="E313" s="23">
        <v>1700</v>
      </c>
      <c r="F313" s="23">
        <v>14</v>
      </c>
      <c r="G313" s="23">
        <v>4</v>
      </c>
      <c r="H313" s="23">
        <v>1000</v>
      </c>
      <c r="I313" s="65">
        <f t="shared" si="15"/>
        <v>0</v>
      </c>
      <c r="J313" s="65">
        <f t="shared" si="13"/>
        <v>6800</v>
      </c>
      <c r="K313" s="65">
        <f t="shared" si="14"/>
        <v>18000</v>
      </c>
      <c r="L313"/>
      <c r="M313"/>
      <c r="N313"/>
    </row>
    <row r="314" spans="1:14" ht="15">
      <c r="A314" s="23" t="s">
        <v>341</v>
      </c>
      <c r="B314" s="23" t="s">
        <v>329</v>
      </c>
      <c r="C314" s="23" t="s">
        <v>354</v>
      </c>
      <c r="D314" s="24">
        <v>41259</v>
      </c>
      <c r="E314" s="23">
        <v>9990</v>
      </c>
      <c r="F314" s="23">
        <v>43</v>
      </c>
      <c r="G314" s="23">
        <v>4</v>
      </c>
      <c r="H314" s="23">
        <v>0</v>
      </c>
      <c r="I314" s="65">
        <f t="shared" si="15"/>
        <v>0</v>
      </c>
      <c r="J314" s="65">
        <f t="shared" si="13"/>
        <v>39960</v>
      </c>
      <c r="K314" s="65">
        <f t="shared" si="14"/>
        <v>389610</v>
      </c>
      <c r="L314"/>
      <c r="M314"/>
      <c r="N314"/>
    </row>
    <row r="315" spans="1:14" ht="15">
      <c r="A315" s="23" t="s">
        <v>326</v>
      </c>
      <c r="B315" s="23" t="s">
        <v>327</v>
      </c>
      <c r="C315" s="23" t="s">
        <v>352</v>
      </c>
      <c r="D315" s="24">
        <v>41260</v>
      </c>
      <c r="E315" s="23">
        <v>3880</v>
      </c>
      <c r="F315" s="23">
        <v>15</v>
      </c>
      <c r="G315" s="23">
        <v>1</v>
      </c>
      <c r="H315" s="23">
        <v>1000</v>
      </c>
      <c r="I315" s="65">
        <f t="shared" si="15"/>
        <v>0</v>
      </c>
      <c r="J315" s="65">
        <f t="shared" si="13"/>
        <v>3880</v>
      </c>
      <c r="K315" s="65">
        <f t="shared" si="14"/>
        <v>55320</v>
      </c>
      <c r="L315"/>
      <c r="M315"/>
      <c r="N315"/>
    </row>
    <row r="316" spans="1:14" ht="15">
      <c r="A316" s="23" t="s">
        <v>331</v>
      </c>
      <c r="B316" s="23" t="s">
        <v>328</v>
      </c>
      <c r="C316" s="23" t="s">
        <v>333</v>
      </c>
      <c r="D316" s="24">
        <v>41260</v>
      </c>
      <c r="E316" s="23">
        <v>900</v>
      </c>
      <c r="F316" s="23">
        <v>22</v>
      </c>
      <c r="G316" s="23">
        <v>1</v>
      </c>
      <c r="H316" s="23">
        <v>750</v>
      </c>
      <c r="I316" s="65">
        <f t="shared" si="15"/>
        <v>0</v>
      </c>
      <c r="J316" s="65">
        <f t="shared" si="13"/>
        <v>900</v>
      </c>
      <c r="K316" s="65">
        <f t="shared" si="14"/>
        <v>19650</v>
      </c>
      <c r="L316"/>
      <c r="M316"/>
      <c r="N316"/>
    </row>
    <row r="317" spans="1:14" ht="15">
      <c r="A317" s="23" t="s">
        <v>362</v>
      </c>
      <c r="B317" s="23" t="s">
        <v>336</v>
      </c>
      <c r="C317" s="23" t="s">
        <v>353</v>
      </c>
      <c r="D317" s="24">
        <v>41261</v>
      </c>
      <c r="E317" s="23">
        <v>1990</v>
      </c>
      <c r="F317" s="23">
        <v>25</v>
      </c>
      <c r="G317" s="23">
        <v>3</v>
      </c>
      <c r="H317" s="23">
        <v>750</v>
      </c>
      <c r="I317" s="65">
        <f t="shared" si="15"/>
        <v>0</v>
      </c>
      <c r="J317" s="65">
        <f t="shared" si="13"/>
        <v>5970</v>
      </c>
      <c r="K317" s="65">
        <f t="shared" si="14"/>
        <v>44530</v>
      </c>
      <c r="L317"/>
      <c r="M317"/>
      <c r="N317"/>
    </row>
    <row r="318" spans="1:14" ht="15">
      <c r="A318" s="23" t="s">
        <v>343</v>
      </c>
      <c r="B318" s="23" t="s">
        <v>339</v>
      </c>
      <c r="C318" s="23" t="s">
        <v>352</v>
      </c>
      <c r="D318" s="24">
        <v>41261</v>
      </c>
      <c r="E318" s="23">
        <v>2000</v>
      </c>
      <c r="F318" s="23">
        <v>50</v>
      </c>
      <c r="G318" s="23">
        <v>2</v>
      </c>
      <c r="H318" s="23">
        <v>0</v>
      </c>
      <c r="I318" s="65">
        <f t="shared" si="15"/>
        <v>0</v>
      </c>
      <c r="J318" s="65">
        <f t="shared" si="13"/>
        <v>4000</v>
      </c>
      <c r="K318" s="65">
        <f t="shared" si="14"/>
        <v>96000</v>
      </c>
      <c r="L318"/>
      <c r="M318"/>
      <c r="N318"/>
    </row>
    <row r="319" spans="1:14" ht="15">
      <c r="A319" s="23" t="s">
        <v>363</v>
      </c>
      <c r="B319" s="23" t="s">
        <v>339</v>
      </c>
      <c r="C319" s="23" t="s">
        <v>333</v>
      </c>
      <c r="D319" s="24">
        <v>41264</v>
      </c>
      <c r="E319" s="23">
        <v>1150</v>
      </c>
      <c r="F319" s="23">
        <v>47</v>
      </c>
      <c r="G319" s="23">
        <v>2</v>
      </c>
      <c r="H319" s="23">
        <v>0</v>
      </c>
      <c r="I319" s="65">
        <f t="shared" si="15"/>
        <v>0</v>
      </c>
      <c r="J319" s="65">
        <f t="shared" si="13"/>
        <v>2300</v>
      </c>
      <c r="K319" s="65">
        <f t="shared" si="14"/>
        <v>51750</v>
      </c>
      <c r="L319"/>
      <c r="M319"/>
      <c r="N319"/>
    </row>
    <row r="320" spans="1:14" ht="15">
      <c r="A320" s="23" t="s">
        <v>326</v>
      </c>
      <c r="B320" s="23" t="s">
        <v>327</v>
      </c>
      <c r="C320" s="23" t="s">
        <v>355</v>
      </c>
      <c r="D320" s="24">
        <v>41266</v>
      </c>
      <c r="E320" s="23">
        <v>3880</v>
      </c>
      <c r="F320" s="23">
        <v>22</v>
      </c>
      <c r="G320" s="23">
        <v>2</v>
      </c>
      <c r="H320" s="23">
        <v>750</v>
      </c>
      <c r="I320" s="65">
        <f t="shared" si="15"/>
        <v>0</v>
      </c>
      <c r="J320" s="65">
        <f t="shared" si="13"/>
        <v>7760</v>
      </c>
      <c r="K320" s="65">
        <f t="shared" si="14"/>
        <v>78350</v>
      </c>
      <c r="L320"/>
      <c r="M320"/>
      <c r="N320"/>
    </row>
    <row r="321" spans="1:14" ht="15">
      <c r="A321" s="23" t="s">
        <v>324</v>
      </c>
      <c r="B321" s="23" t="s">
        <v>325</v>
      </c>
      <c r="C321" s="23" t="s">
        <v>355</v>
      </c>
      <c r="D321" s="24">
        <v>41267</v>
      </c>
      <c r="E321" s="23">
        <v>2800</v>
      </c>
      <c r="F321" s="23">
        <v>16</v>
      </c>
      <c r="G321" s="23">
        <v>3</v>
      </c>
      <c r="H321" s="23">
        <v>1000</v>
      </c>
      <c r="I321" s="65">
        <f t="shared" si="15"/>
        <v>0</v>
      </c>
      <c r="J321" s="65">
        <f t="shared" si="13"/>
        <v>8400</v>
      </c>
      <c r="K321" s="65">
        <f t="shared" si="14"/>
        <v>37400</v>
      </c>
      <c r="L321"/>
      <c r="M321"/>
      <c r="N321"/>
    </row>
    <row r="322" spans="1:14" ht="15">
      <c r="A322" s="23" t="s">
        <v>331</v>
      </c>
      <c r="B322" s="23" t="s">
        <v>339</v>
      </c>
      <c r="C322" s="23" t="s">
        <v>353</v>
      </c>
      <c r="D322" s="24">
        <v>41267</v>
      </c>
      <c r="E322" s="23">
        <v>1750</v>
      </c>
      <c r="F322" s="23">
        <v>42</v>
      </c>
      <c r="G322" s="23">
        <v>0</v>
      </c>
      <c r="H322" s="23">
        <v>0</v>
      </c>
      <c r="I322" s="65">
        <f t="shared" si="15"/>
        <v>0</v>
      </c>
      <c r="J322" s="65">
        <f t="shared" si="13"/>
        <v>0</v>
      </c>
      <c r="K322" s="65">
        <f t="shared" si="14"/>
        <v>73500</v>
      </c>
      <c r="L322"/>
      <c r="M322"/>
      <c r="N322"/>
    </row>
    <row r="323" spans="1:14" ht="15">
      <c r="A323" s="23" t="s">
        <v>331</v>
      </c>
      <c r="B323" s="23" t="s">
        <v>335</v>
      </c>
      <c r="C323" s="23" t="s">
        <v>355</v>
      </c>
      <c r="D323" s="24">
        <v>41268</v>
      </c>
      <c r="E323" s="23">
        <v>1950</v>
      </c>
      <c r="F323" s="23">
        <v>35</v>
      </c>
      <c r="G323" s="23">
        <v>2</v>
      </c>
      <c r="H323" s="23">
        <v>750</v>
      </c>
      <c r="I323" s="65">
        <f t="shared" si="15"/>
        <v>0</v>
      </c>
      <c r="J323" s="65">
        <f t="shared" si="13"/>
        <v>3900</v>
      </c>
      <c r="K323" s="65">
        <f t="shared" si="14"/>
        <v>65100</v>
      </c>
      <c r="L323"/>
      <c r="M323"/>
      <c r="N323"/>
    </row>
    <row r="324" spans="1:14" ht="15">
      <c r="A324" s="23" t="s">
        <v>330</v>
      </c>
      <c r="B324" s="23" t="s">
        <v>334</v>
      </c>
      <c r="C324" s="23" t="s">
        <v>354</v>
      </c>
      <c r="D324" s="24">
        <v>41269</v>
      </c>
      <c r="E324" s="23">
        <v>2200</v>
      </c>
      <c r="F324" s="23">
        <v>25</v>
      </c>
      <c r="G324" s="23">
        <v>4</v>
      </c>
      <c r="H324" s="23">
        <v>750</v>
      </c>
      <c r="I324" s="65">
        <f t="shared" si="15"/>
        <v>0</v>
      </c>
      <c r="J324" s="65">
        <f t="shared" si="13"/>
        <v>8800</v>
      </c>
      <c r="K324" s="65">
        <f t="shared" si="14"/>
        <v>46950</v>
      </c>
      <c r="L324"/>
      <c r="M324"/>
      <c r="N324"/>
    </row>
    <row r="325" spans="1:14" ht="15">
      <c r="A325" s="23" t="s">
        <v>340</v>
      </c>
      <c r="B325" s="23" t="s">
        <v>335</v>
      </c>
      <c r="C325" s="23" t="s">
        <v>352</v>
      </c>
      <c r="D325" s="24">
        <v>41270</v>
      </c>
      <c r="E325" s="23">
        <v>1080</v>
      </c>
      <c r="F325" s="23">
        <v>43</v>
      </c>
      <c r="G325" s="23">
        <v>4</v>
      </c>
      <c r="H325" s="23">
        <v>0</v>
      </c>
      <c r="I325" s="65">
        <f t="shared" si="15"/>
        <v>0</v>
      </c>
      <c r="J325" s="65">
        <f t="shared" si="13"/>
        <v>4320</v>
      </c>
      <c r="K325" s="65">
        <f t="shared" si="14"/>
        <v>42120</v>
      </c>
      <c r="L325"/>
      <c r="M325"/>
      <c r="N325"/>
    </row>
    <row r="326" spans="1:14" ht="15">
      <c r="A326" s="23" t="s">
        <v>363</v>
      </c>
      <c r="B326" s="23" t="s">
        <v>328</v>
      </c>
      <c r="C326" s="23" t="s">
        <v>355</v>
      </c>
      <c r="D326" s="24">
        <v>41271</v>
      </c>
      <c r="E326" s="23">
        <v>890</v>
      </c>
      <c r="F326" s="23">
        <v>50</v>
      </c>
      <c r="G326" s="23">
        <v>4</v>
      </c>
      <c r="H326" s="23">
        <v>0</v>
      </c>
      <c r="I326" s="65">
        <f t="shared" si="15"/>
        <v>0</v>
      </c>
      <c r="J326" s="65">
        <f t="shared" si="13"/>
        <v>3560</v>
      </c>
      <c r="K326" s="65">
        <f t="shared" si="14"/>
        <v>40940</v>
      </c>
      <c r="L326"/>
      <c r="M326"/>
      <c r="N326"/>
    </row>
    <row r="327" spans="1:14" ht="15">
      <c r="A327" s="23" t="s">
        <v>326</v>
      </c>
      <c r="B327" s="23" t="s">
        <v>329</v>
      </c>
      <c r="C327" s="23" t="s">
        <v>352</v>
      </c>
      <c r="D327" s="24">
        <v>41271</v>
      </c>
      <c r="E327" s="23">
        <v>4050</v>
      </c>
      <c r="F327" s="23">
        <v>48</v>
      </c>
      <c r="G327" s="23">
        <v>4</v>
      </c>
      <c r="H327" s="23">
        <v>0</v>
      </c>
      <c r="I327" s="65">
        <f t="shared" si="15"/>
        <v>405</v>
      </c>
      <c r="J327" s="65">
        <f t="shared" si="13"/>
        <v>16200</v>
      </c>
      <c r="K327" s="65">
        <f t="shared" si="14"/>
        <v>160380</v>
      </c>
      <c r="L327"/>
      <c r="M327"/>
      <c r="N327"/>
    </row>
    <row r="328" spans="1:14" ht="15">
      <c r="A328" s="23" t="s">
        <v>331</v>
      </c>
      <c r="B328" s="23" t="s">
        <v>335</v>
      </c>
      <c r="C328" s="23" t="s">
        <v>352</v>
      </c>
      <c r="D328" s="24">
        <v>41272</v>
      </c>
      <c r="E328" s="23">
        <v>1950</v>
      </c>
      <c r="F328" s="23">
        <v>43</v>
      </c>
      <c r="G328" s="23">
        <v>3</v>
      </c>
      <c r="H328" s="23">
        <v>0</v>
      </c>
      <c r="I328" s="65">
        <f t="shared" si="15"/>
        <v>0</v>
      </c>
      <c r="J328" s="65">
        <f t="shared" si="13"/>
        <v>5850</v>
      </c>
      <c r="K328" s="65">
        <f t="shared" si="14"/>
        <v>78000</v>
      </c>
      <c r="L328"/>
      <c r="M328"/>
      <c r="N328"/>
    </row>
  </sheetData>
  <sortState xmlns:xlrd2="http://schemas.microsoft.com/office/spreadsheetml/2017/richdata2" ref="L11:N21">
    <sortCondition ref="L11"/>
  </sortState>
  <dataValidations count="3">
    <dataValidation type="list" allowBlank="1" showInputMessage="1" showErrorMessage="1" sqref="A10" xr:uid="{2077FBBE-6DD8-4162-9218-85BD88C1D548}">
      <formula1>$L$11:$L$21</formula1>
    </dataValidation>
    <dataValidation type="list" allowBlank="1" showInputMessage="1" showErrorMessage="1" sqref="B10" xr:uid="{E7697CCC-DE90-40B8-BEBE-B72580A96FA4}">
      <formula1>$M$11:$M$21</formula1>
    </dataValidation>
    <dataValidation type="list" allowBlank="1" showInputMessage="1" showErrorMessage="1" sqref="C10" xr:uid="{A66DB65B-BBFD-4195-82ED-BD2876B89C23}">
      <formula1>$N$11:$N$16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8578-39C5-4283-B6EE-DF0354CE2236}">
  <dimension ref="A1:G368"/>
  <sheetViews>
    <sheetView workbookViewId="0">
      <selection sqref="A1:D368"/>
    </sheetView>
  </sheetViews>
  <sheetFormatPr defaultColWidth="9.140625" defaultRowHeight="12"/>
  <cols>
    <col min="1" max="1" width="10.140625" style="1" bestFit="1" customWidth="1"/>
    <col min="2" max="2" width="18.85546875" style="1" bestFit="1" customWidth="1"/>
    <col min="3" max="3" width="7" style="1" bestFit="1" customWidth="1"/>
    <col min="4" max="4" width="15.28515625" style="1" bestFit="1" customWidth="1"/>
    <col min="5" max="6" width="9.140625" style="1"/>
    <col min="7" max="7" width="62.42578125" style="1" customWidth="1"/>
    <col min="8" max="16384" width="9.140625" style="1"/>
  </cols>
  <sheetData>
    <row r="1" spans="1:7">
      <c r="A1" s="26" t="s">
        <v>293</v>
      </c>
      <c r="B1" s="27" t="s">
        <v>305</v>
      </c>
      <c r="C1" s="27" t="s">
        <v>306</v>
      </c>
      <c r="D1" s="27" t="s">
        <v>307</v>
      </c>
    </row>
    <row r="2" spans="1:7">
      <c r="A2" s="28">
        <v>35611</v>
      </c>
      <c r="B2" s="29" t="s">
        <v>308</v>
      </c>
      <c r="C2" s="29">
        <v>800</v>
      </c>
      <c r="D2" s="29" t="s">
        <v>294</v>
      </c>
      <c r="G2" s="3" t="s">
        <v>302</v>
      </c>
    </row>
    <row r="3" spans="1:7">
      <c r="A3" s="28">
        <v>37257</v>
      </c>
      <c r="B3" s="29" t="s">
        <v>309</v>
      </c>
      <c r="C3" s="29">
        <v>1000</v>
      </c>
      <c r="D3" s="29" t="s">
        <v>295</v>
      </c>
    </row>
    <row r="4" spans="1:7">
      <c r="A4" s="28">
        <v>37261</v>
      </c>
      <c r="B4" s="29" t="s">
        <v>296</v>
      </c>
      <c r="C4" s="29">
        <v>945</v>
      </c>
      <c r="D4" s="29" t="s">
        <v>297</v>
      </c>
      <c r="G4" s="2" t="s">
        <v>303</v>
      </c>
    </row>
    <row r="5" spans="1:7">
      <c r="A5" s="28">
        <v>37261</v>
      </c>
      <c r="B5" s="29" t="s">
        <v>296</v>
      </c>
      <c r="C5" s="29">
        <v>1000</v>
      </c>
      <c r="D5" s="29" t="s">
        <v>298</v>
      </c>
      <c r="G5" s="2" t="s">
        <v>304</v>
      </c>
    </row>
    <row r="6" spans="1:7">
      <c r="A6" s="28">
        <v>37261</v>
      </c>
      <c r="B6" s="29" t="s">
        <v>296</v>
      </c>
      <c r="C6" s="29">
        <v>1270</v>
      </c>
      <c r="D6" s="29" t="s">
        <v>299</v>
      </c>
      <c r="G6" s="2" t="s">
        <v>365</v>
      </c>
    </row>
    <row r="7" spans="1:7" ht="15" customHeight="1">
      <c r="A7" s="28">
        <v>37261</v>
      </c>
      <c r="B7" s="29" t="s">
        <v>309</v>
      </c>
      <c r="C7" s="29">
        <v>566</v>
      </c>
      <c r="D7" s="29" t="s">
        <v>300</v>
      </c>
      <c r="G7" s="2" t="s">
        <v>366</v>
      </c>
    </row>
    <row r="8" spans="1:7">
      <c r="A8" s="28">
        <v>37261</v>
      </c>
      <c r="B8" s="29" t="s">
        <v>309</v>
      </c>
      <c r="C8" s="29">
        <v>600</v>
      </c>
      <c r="D8" s="29" t="s">
        <v>301</v>
      </c>
      <c r="G8" s="30"/>
    </row>
    <row r="9" spans="1:7">
      <c r="A9" s="28">
        <v>37262</v>
      </c>
      <c r="B9" s="29" t="s">
        <v>309</v>
      </c>
      <c r="C9" s="29">
        <v>945</v>
      </c>
      <c r="D9" s="29" t="s">
        <v>295</v>
      </c>
      <c r="G9" s="30"/>
    </row>
    <row r="10" spans="1:7">
      <c r="A10" s="28">
        <v>37263</v>
      </c>
      <c r="B10" s="29" t="s">
        <v>308</v>
      </c>
      <c r="C10" s="29">
        <v>945</v>
      </c>
      <c r="D10" s="29" t="s">
        <v>294</v>
      </c>
      <c r="G10" s="30"/>
    </row>
    <row r="11" spans="1:7">
      <c r="A11" s="28">
        <v>37264</v>
      </c>
      <c r="B11" s="29" t="s">
        <v>309</v>
      </c>
      <c r="C11" s="29">
        <v>945</v>
      </c>
      <c r="D11" s="29" t="s">
        <v>300</v>
      </c>
      <c r="G11" s="30"/>
    </row>
    <row r="12" spans="1:7">
      <c r="A12" s="28">
        <v>37265</v>
      </c>
      <c r="B12" s="29" t="s">
        <v>309</v>
      </c>
      <c r="C12" s="29">
        <v>945</v>
      </c>
      <c r="D12" s="29" t="s">
        <v>301</v>
      </c>
      <c r="G12" s="30"/>
    </row>
    <row r="13" spans="1:7">
      <c r="A13" s="28">
        <v>37266</v>
      </c>
      <c r="B13" s="29" t="s">
        <v>296</v>
      </c>
      <c r="C13" s="29">
        <v>945</v>
      </c>
      <c r="D13" s="29" t="s">
        <v>298</v>
      </c>
      <c r="G13" s="30"/>
    </row>
    <row r="14" spans="1:7">
      <c r="A14" s="28">
        <v>37268</v>
      </c>
      <c r="B14" s="29" t="s">
        <v>296</v>
      </c>
      <c r="C14" s="29">
        <v>945</v>
      </c>
      <c r="D14" s="29" t="s">
        <v>297</v>
      </c>
      <c r="G14" s="30"/>
    </row>
    <row r="15" spans="1:7">
      <c r="A15" s="28">
        <v>37269</v>
      </c>
      <c r="B15" s="29" t="s">
        <v>309</v>
      </c>
      <c r="C15" s="29">
        <v>945</v>
      </c>
      <c r="D15" s="29" t="s">
        <v>295</v>
      </c>
    </row>
    <row r="16" spans="1:7">
      <c r="A16" s="28">
        <v>37270</v>
      </c>
      <c r="B16" s="29" t="s">
        <v>308</v>
      </c>
      <c r="C16" s="29">
        <v>945</v>
      </c>
      <c r="D16" s="29" t="s">
        <v>294</v>
      </c>
    </row>
    <row r="17" spans="1:4">
      <c r="A17" s="28">
        <v>37271</v>
      </c>
      <c r="B17" s="29" t="s">
        <v>309</v>
      </c>
      <c r="C17" s="29">
        <v>945</v>
      </c>
      <c r="D17" s="29" t="s">
        <v>300</v>
      </c>
    </row>
    <row r="18" spans="1:4">
      <c r="A18" s="28">
        <v>37272</v>
      </c>
      <c r="B18" s="29" t="s">
        <v>309</v>
      </c>
      <c r="C18" s="29">
        <v>945</v>
      </c>
      <c r="D18" s="29" t="s">
        <v>301</v>
      </c>
    </row>
    <row r="19" spans="1:4">
      <c r="A19" s="28">
        <v>37273</v>
      </c>
      <c r="B19" s="29" t="s">
        <v>296</v>
      </c>
      <c r="C19" s="29">
        <v>945</v>
      </c>
      <c r="D19" s="29" t="s">
        <v>298</v>
      </c>
    </row>
    <row r="20" spans="1:4">
      <c r="A20" s="28">
        <v>37274</v>
      </c>
      <c r="B20" s="29" t="s">
        <v>296</v>
      </c>
      <c r="C20" s="29">
        <v>945</v>
      </c>
      <c r="D20" s="29" t="s">
        <v>299</v>
      </c>
    </row>
    <row r="21" spans="1:4">
      <c r="A21" s="28">
        <v>37275</v>
      </c>
      <c r="B21" s="29" t="s">
        <v>296</v>
      </c>
      <c r="C21" s="29">
        <v>945</v>
      </c>
      <c r="D21" s="29" t="s">
        <v>297</v>
      </c>
    </row>
    <row r="22" spans="1:4">
      <c r="A22" s="28">
        <v>37276</v>
      </c>
      <c r="B22" s="29" t="s">
        <v>309</v>
      </c>
      <c r="C22" s="29">
        <v>945</v>
      </c>
      <c r="D22" s="29" t="s">
        <v>295</v>
      </c>
    </row>
    <row r="23" spans="1:4">
      <c r="A23" s="28">
        <v>37277</v>
      </c>
      <c r="B23" s="29" t="s">
        <v>308</v>
      </c>
      <c r="C23" s="29">
        <v>945</v>
      </c>
      <c r="D23" s="29" t="s">
        <v>294</v>
      </c>
    </row>
    <row r="24" spans="1:4">
      <c r="A24" s="28">
        <v>37278</v>
      </c>
      <c r="B24" s="29" t="s">
        <v>309</v>
      </c>
      <c r="C24" s="29">
        <v>945</v>
      </c>
      <c r="D24" s="29" t="s">
        <v>300</v>
      </c>
    </row>
    <row r="25" spans="1:4">
      <c r="A25" s="28">
        <v>37279</v>
      </c>
      <c r="B25" s="29" t="s">
        <v>309</v>
      </c>
      <c r="C25" s="29">
        <v>945</v>
      </c>
      <c r="D25" s="29" t="s">
        <v>301</v>
      </c>
    </row>
    <row r="26" spans="1:4">
      <c r="A26" s="28">
        <v>37280</v>
      </c>
      <c r="B26" s="29" t="s">
        <v>296</v>
      </c>
      <c r="C26" s="29">
        <v>945</v>
      </c>
      <c r="D26" s="29" t="s">
        <v>298</v>
      </c>
    </row>
    <row r="27" spans="1:4">
      <c r="A27" s="28">
        <v>37281</v>
      </c>
      <c r="B27" s="29" t="s">
        <v>296</v>
      </c>
      <c r="C27" s="29">
        <v>945</v>
      </c>
      <c r="D27" s="29" t="s">
        <v>299</v>
      </c>
    </row>
    <row r="28" spans="1:4">
      <c r="A28" s="28">
        <v>37282</v>
      </c>
      <c r="B28" s="29" t="s">
        <v>296</v>
      </c>
      <c r="C28" s="29">
        <v>945</v>
      </c>
      <c r="D28" s="29" t="s">
        <v>297</v>
      </c>
    </row>
    <row r="29" spans="1:4">
      <c r="A29" s="28">
        <v>37283</v>
      </c>
      <c r="B29" s="29" t="s">
        <v>309</v>
      </c>
      <c r="C29" s="29">
        <v>945</v>
      </c>
      <c r="D29" s="29" t="s">
        <v>295</v>
      </c>
    </row>
    <row r="30" spans="1:4">
      <c r="A30" s="28">
        <v>37284</v>
      </c>
      <c r="B30" s="29" t="s">
        <v>308</v>
      </c>
      <c r="C30" s="29">
        <v>945</v>
      </c>
      <c r="D30" s="29" t="s">
        <v>294</v>
      </c>
    </row>
    <row r="31" spans="1:4">
      <c r="A31" s="28">
        <v>37285</v>
      </c>
      <c r="B31" s="29" t="s">
        <v>309</v>
      </c>
      <c r="C31" s="29">
        <v>945</v>
      </c>
      <c r="D31" s="29" t="s">
        <v>300</v>
      </c>
    </row>
    <row r="32" spans="1:4">
      <c r="A32" s="28">
        <v>37286</v>
      </c>
      <c r="B32" s="29" t="s">
        <v>309</v>
      </c>
      <c r="C32" s="29">
        <v>945</v>
      </c>
      <c r="D32" s="29" t="s">
        <v>301</v>
      </c>
    </row>
    <row r="33" spans="1:4">
      <c r="A33" s="28">
        <v>37287</v>
      </c>
      <c r="B33" s="29" t="s">
        <v>296</v>
      </c>
      <c r="C33" s="29">
        <v>945</v>
      </c>
      <c r="D33" s="29" t="s">
        <v>298</v>
      </c>
    </row>
    <row r="34" spans="1:4">
      <c r="A34" s="28">
        <v>37289</v>
      </c>
      <c r="B34" s="29" t="s">
        <v>296</v>
      </c>
      <c r="C34" s="29">
        <v>945</v>
      </c>
      <c r="D34" s="29" t="s">
        <v>297</v>
      </c>
    </row>
    <row r="35" spans="1:4">
      <c r="A35" s="28">
        <v>37290</v>
      </c>
      <c r="B35" s="29" t="s">
        <v>309</v>
      </c>
      <c r="C35" s="29">
        <v>945</v>
      </c>
      <c r="D35" s="29" t="s">
        <v>295</v>
      </c>
    </row>
    <row r="36" spans="1:4">
      <c r="A36" s="28">
        <v>37291</v>
      </c>
      <c r="B36" s="29" t="s">
        <v>308</v>
      </c>
      <c r="C36" s="29">
        <v>945</v>
      </c>
      <c r="D36" s="29" t="s">
        <v>294</v>
      </c>
    </row>
    <row r="37" spans="1:4">
      <c r="A37" s="28">
        <v>37292</v>
      </c>
      <c r="B37" s="29" t="s">
        <v>309</v>
      </c>
      <c r="C37" s="29">
        <v>945</v>
      </c>
      <c r="D37" s="29" t="s">
        <v>300</v>
      </c>
    </row>
    <row r="38" spans="1:4">
      <c r="A38" s="28">
        <v>37293</v>
      </c>
      <c r="B38" s="29" t="s">
        <v>309</v>
      </c>
      <c r="C38" s="29">
        <v>945</v>
      </c>
      <c r="D38" s="29" t="s">
        <v>301</v>
      </c>
    </row>
    <row r="39" spans="1:4">
      <c r="A39" s="28">
        <v>37294</v>
      </c>
      <c r="B39" s="29" t="s">
        <v>296</v>
      </c>
      <c r="C39" s="29">
        <v>945</v>
      </c>
      <c r="D39" s="29" t="s">
        <v>298</v>
      </c>
    </row>
    <row r="40" spans="1:4">
      <c r="A40" s="28">
        <v>37295</v>
      </c>
      <c r="B40" s="29" t="s">
        <v>296</v>
      </c>
      <c r="C40" s="29">
        <v>945</v>
      </c>
      <c r="D40" s="29" t="s">
        <v>299</v>
      </c>
    </row>
    <row r="41" spans="1:4">
      <c r="A41" s="28">
        <v>37296</v>
      </c>
      <c r="B41" s="29" t="s">
        <v>296</v>
      </c>
      <c r="C41" s="29">
        <v>945</v>
      </c>
      <c r="D41" s="29" t="s">
        <v>297</v>
      </c>
    </row>
    <row r="42" spans="1:4">
      <c r="A42" s="28">
        <v>37297</v>
      </c>
      <c r="B42" s="29" t="s">
        <v>309</v>
      </c>
      <c r="C42" s="29">
        <v>945</v>
      </c>
      <c r="D42" s="29" t="s">
        <v>295</v>
      </c>
    </row>
    <row r="43" spans="1:4">
      <c r="A43" s="28">
        <v>37298</v>
      </c>
      <c r="B43" s="29" t="s">
        <v>308</v>
      </c>
      <c r="C43" s="29">
        <v>945</v>
      </c>
      <c r="D43" s="29" t="s">
        <v>294</v>
      </c>
    </row>
    <row r="44" spans="1:4">
      <c r="A44" s="28">
        <v>37299</v>
      </c>
      <c r="B44" s="29" t="s">
        <v>309</v>
      </c>
      <c r="C44" s="29">
        <v>945</v>
      </c>
      <c r="D44" s="29" t="s">
        <v>300</v>
      </c>
    </row>
    <row r="45" spans="1:4">
      <c r="A45" s="28">
        <v>37300</v>
      </c>
      <c r="B45" s="29" t="s">
        <v>309</v>
      </c>
      <c r="C45" s="29">
        <v>945</v>
      </c>
      <c r="D45" s="29" t="s">
        <v>301</v>
      </c>
    </row>
    <row r="46" spans="1:4">
      <c r="A46" s="28">
        <v>37301</v>
      </c>
      <c r="B46" s="29" t="s">
        <v>296</v>
      </c>
      <c r="C46" s="29">
        <v>945</v>
      </c>
      <c r="D46" s="29" t="s">
        <v>298</v>
      </c>
    </row>
    <row r="47" spans="1:4">
      <c r="A47" s="28">
        <v>37302</v>
      </c>
      <c r="B47" s="29" t="s">
        <v>296</v>
      </c>
      <c r="C47" s="29">
        <v>945</v>
      </c>
      <c r="D47" s="29" t="s">
        <v>299</v>
      </c>
    </row>
    <row r="48" spans="1:4">
      <c r="A48" s="28">
        <v>37303</v>
      </c>
      <c r="B48" s="29" t="s">
        <v>296</v>
      </c>
      <c r="C48" s="29">
        <v>945</v>
      </c>
      <c r="D48" s="29" t="s">
        <v>297</v>
      </c>
    </row>
    <row r="49" spans="1:4">
      <c r="A49" s="28">
        <v>37304</v>
      </c>
      <c r="B49" s="29" t="s">
        <v>309</v>
      </c>
      <c r="C49" s="29">
        <v>945</v>
      </c>
      <c r="D49" s="29" t="s">
        <v>295</v>
      </c>
    </row>
    <row r="50" spans="1:4">
      <c r="A50" s="28">
        <v>37305</v>
      </c>
      <c r="B50" s="29" t="s">
        <v>308</v>
      </c>
      <c r="C50" s="29">
        <v>945</v>
      </c>
      <c r="D50" s="29" t="s">
        <v>294</v>
      </c>
    </row>
    <row r="51" spans="1:4">
      <c r="A51" s="28">
        <v>37306</v>
      </c>
      <c r="B51" s="29" t="s">
        <v>309</v>
      </c>
      <c r="C51" s="29">
        <v>945</v>
      </c>
      <c r="D51" s="29" t="s">
        <v>300</v>
      </c>
    </row>
    <row r="52" spans="1:4">
      <c r="A52" s="28">
        <v>37307</v>
      </c>
      <c r="B52" s="29" t="s">
        <v>309</v>
      </c>
      <c r="C52" s="29">
        <v>945</v>
      </c>
      <c r="D52" s="29" t="s">
        <v>301</v>
      </c>
    </row>
    <row r="53" spans="1:4">
      <c r="A53" s="28">
        <v>37308</v>
      </c>
      <c r="B53" s="29" t="s">
        <v>296</v>
      </c>
      <c r="C53" s="29">
        <v>945</v>
      </c>
      <c r="D53" s="29" t="s">
        <v>298</v>
      </c>
    </row>
    <row r="54" spans="1:4">
      <c r="A54" s="28">
        <v>37309</v>
      </c>
      <c r="B54" s="29" t="s">
        <v>296</v>
      </c>
      <c r="C54" s="29">
        <v>945</v>
      </c>
      <c r="D54" s="29" t="s">
        <v>299</v>
      </c>
    </row>
    <row r="55" spans="1:4">
      <c r="A55" s="28">
        <v>37310</v>
      </c>
      <c r="B55" s="29" t="s">
        <v>296</v>
      </c>
      <c r="C55" s="29">
        <v>945</v>
      </c>
      <c r="D55" s="29" t="s">
        <v>297</v>
      </c>
    </row>
    <row r="56" spans="1:4">
      <c r="A56" s="28">
        <v>37311</v>
      </c>
      <c r="B56" s="29" t="s">
        <v>309</v>
      </c>
      <c r="C56" s="29">
        <v>945</v>
      </c>
      <c r="D56" s="29" t="s">
        <v>295</v>
      </c>
    </row>
    <row r="57" spans="1:4">
      <c r="A57" s="28">
        <v>37312</v>
      </c>
      <c r="B57" s="29" t="s">
        <v>308</v>
      </c>
      <c r="C57" s="29">
        <v>945</v>
      </c>
      <c r="D57" s="29" t="s">
        <v>294</v>
      </c>
    </row>
    <row r="58" spans="1:4">
      <c r="A58" s="28">
        <v>37313</v>
      </c>
      <c r="B58" s="29" t="s">
        <v>309</v>
      </c>
      <c r="C58" s="29">
        <v>945</v>
      </c>
      <c r="D58" s="29" t="s">
        <v>300</v>
      </c>
    </row>
    <row r="59" spans="1:4">
      <c r="A59" s="28">
        <v>37314</v>
      </c>
      <c r="B59" s="29" t="s">
        <v>309</v>
      </c>
      <c r="C59" s="29">
        <v>945</v>
      </c>
      <c r="D59" s="29" t="s">
        <v>301</v>
      </c>
    </row>
    <row r="60" spans="1:4">
      <c r="A60" s="28">
        <v>37315</v>
      </c>
      <c r="B60" s="29" t="s">
        <v>296</v>
      </c>
      <c r="C60" s="29">
        <v>945</v>
      </c>
      <c r="D60" s="29" t="s">
        <v>298</v>
      </c>
    </row>
    <row r="61" spans="1:4">
      <c r="A61" s="28">
        <v>37316</v>
      </c>
      <c r="B61" s="29" t="s">
        <v>296</v>
      </c>
      <c r="C61" s="29">
        <v>945</v>
      </c>
      <c r="D61" s="29" t="s">
        <v>299</v>
      </c>
    </row>
    <row r="62" spans="1:4">
      <c r="A62" s="28">
        <v>37317</v>
      </c>
      <c r="B62" s="29" t="s">
        <v>296</v>
      </c>
      <c r="C62" s="29">
        <v>945</v>
      </c>
      <c r="D62" s="29" t="s">
        <v>297</v>
      </c>
    </row>
    <row r="63" spans="1:4">
      <c r="A63" s="28">
        <v>37318</v>
      </c>
      <c r="B63" s="29" t="s">
        <v>309</v>
      </c>
      <c r="C63" s="29">
        <v>945</v>
      </c>
      <c r="D63" s="29" t="s">
        <v>295</v>
      </c>
    </row>
    <row r="64" spans="1:4">
      <c r="A64" s="28">
        <v>37319</v>
      </c>
      <c r="B64" s="29" t="s">
        <v>308</v>
      </c>
      <c r="C64" s="29">
        <v>945</v>
      </c>
      <c r="D64" s="29" t="s">
        <v>294</v>
      </c>
    </row>
    <row r="65" spans="1:4">
      <c r="A65" s="28">
        <v>37320</v>
      </c>
      <c r="B65" s="29" t="s">
        <v>309</v>
      </c>
      <c r="C65" s="29">
        <v>945</v>
      </c>
      <c r="D65" s="29" t="s">
        <v>300</v>
      </c>
    </row>
    <row r="66" spans="1:4">
      <c r="A66" s="28">
        <v>37321</v>
      </c>
      <c r="B66" s="29" t="s">
        <v>309</v>
      </c>
      <c r="C66" s="29">
        <v>945</v>
      </c>
      <c r="D66" s="29" t="s">
        <v>301</v>
      </c>
    </row>
    <row r="67" spans="1:4">
      <c r="A67" s="28">
        <v>37322</v>
      </c>
      <c r="B67" s="29" t="s">
        <v>296</v>
      </c>
      <c r="C67" s="29">
        <v>945</v>
      </c>
      <c r="D67" s="29" t="s">
        <v>298</v>
      </c>
    </row>
    <row r="68" spans="1:4">
      <c r="A68" s="28">
        <v>37323</v>
      </c>
      <c r="B68" s="29" t="s">
        <v>296</v>
      </c>
      <c r="C68" s="29">
        <v>945</v>
      </c>
      <c r="D68" s="29" t="s">
        <v>299</v>
      </c>
    </row>
    <row r="69" spans="1:4">
      <c r="A69" s="28">
        <v>37324</v>
      </c>
      <c r="B69" s="29" t="s">
        <v>296</v>
      </c>
      <c r="C69" s="29">
        <v>945</v>
      </c>
      <c r="D69" s="29" t="s">
        <v>297</v>
      </c>
    </row>
    <row r="70" spans="1:4">
      <c r="A70" s="28">
        <v>37325</v>
      </c>
      <c r="B70" s="29" t="s">
        <v>309</v>
      </c>
      <c r="C70" s="29">
        <v>945</v>
      </c>
      <c r="D70" s="29" t="s">
        <v>295</v>
      </c>
    </row>
    <row r="71" spans="1:4">
      <c r="A71" s="28">
        <v>37326</v>
      </c>
      <c r="B71" s="29" t="s">
        <v>308</v>
      </c>
      <c r="C71" s="29">
        <v>945</v>
      </c>
      <c r="D71" s="29" t="s">
        <v>294</v>
      </c>
    </row>
    <row r="72" spans="1:4">
      <c r="A72" s="28">
        <v>37327</v>
      </c>
      <c r="B72" s="29" t="s">
        <v>309</v>
      </c>
      <c r="C72" s="29">
        <v>945</v>
      </c>
      <c r="D72" s="29" t="s">
        <v>300</v>
      </c>
    </row>
    <row r="73" spans="1:4">
      <c r="A73" s="28">
        <v>37328</v>
      </c>
      <c r="B73" s="29" t="s">
        <v>309</v>
      </c>
      <c r="C73" s="29">
        <v>945</v>
      </c>
      <c r="D73" s="29" t="s">
        <v>301</v>
      </c>
    </row>
    <row r="74" spans="1:4">
      <c r="A74" s="28">
        <v>37329</v>
      </c>
      <c r="B74" s="29" t="s">
        <v>296</v>
      </c>
      <c r="C74" s="29">
        <v>945</v>
      </c>
      <c r="D74" s="29" t="s">
        <v>298</v>
      </c>
    </row>
    <row r="75" spans="1:4">
      <c r="A75" s="28">
        <v>37330</v>
      </c>
      <c r="B75" s="29" t="s">
        <v>296</v>
      </c>
      <c r="C75" s="29">
        <v>945</v>
      </c>
      <c r="D75" s="29" t="s">
        <v>299</v>
      </c>
    </row>
    <row r="76" spans="1:4">
      <c r="A76" s="28">
        <v>37331</v>
      </c>
      <c r="B76" s="29" t="s">
        <v>296</v>
      </c>
      <c r="C76" s="29">
        <v>945</v>
      </c>
      <c r="D76" s="29" t="s">
        <v>297</v>
      </c>
    </row>
    <row r="77" spans="1:4">
      <c r="A77" s="28">
        <v>37332</v>
      </c>
      <c r="B77" s="29" t="s">
        <v>309</v>
      </c>
      <c r="C77" s="29">
        <v>945</v>
      </c>
      <c r="D77" s="29" t="s">
        <v>295</v>
      </c>
    </row>
    <row r="78" spans="1:4">
      <c r="A78" s="28">
        <v>37333</v>
      </c>
      <c r="B78" s="29" t="s">
        <v>308</v>
      </c>
      <c r="C78" s="29">
        <v>945</v>
      </c>
      <c r="D78" s="29" t="s">
        <v>294</v>
      </c>
    </row>
    <row r="79" spans="1:4">
      <c r="A79" s="28">
        <v>37334</v>
      </c>
      <c r="B79" s="29" t="s">
        <v>309</v>
      </c>
      <c r="C79" s="29">
        <v>945</v>
      </c>
      <c r="D79" s="29" t="s">
        <v>300</v>
      </c>
    </row>
    <row r="80" spans="1:4">
      <c r="A80" s="28">
        <v>37335</v>
      </c>
      <c r="B80" s="29" t="s">
        <v>309</v>
      </c>
      <c r="C80" s="29">
        <v>945</v>
      </c>
      <c r="D80" s="29" t="s">
        <v>301</v>
      </c>
    </row>
    <row r="81" spans="1:4">
      <c r="A81" s="28">
        <v>37336</v>
      </c>
      <c r="B81" s="29" t="s">
        <v>296</v>
      </c>
      <c r="C81" s="29">
        <v>945</v>
      </c>
      <c r="D81" s="29" t="s">
        <v>298</v>
      </c>
    </row>
    <row r="82" spans="1:4">
      <c r="A82" s="28">
        <v>37337</v>
      </c>
      <c r="B82" s="29" t="s">
        <v>296</v>
      </c>
      <c r="C82" s="29">
        <v>945</v>
      </c>
      <c r="D82" s="29" t="s">
        <v>299</v>
      </c>
    </row>
    <row r="83" spans="1:4">
      <c r="A83" s="28">
        <v>37338</v>
      </c>
      <c r="B83" s="29" t="s">
        <v>296</v>
      </c>
      <c r="C83" s="29">
        <v>945</v>
      </c>
      <c r="D83" s="29" t="s">
        <v>297</v>
      </c>
    </row>
    <row r="84" spans="1:4">
      <c r="A84" s="28">
        <v>37339</v>
      </c>
      <c r="B84" s="29" t="s">
        <v>309</v>
      </c>
      <c r="C84" s="29">
        <v>945</v>
      </c>
      <c r="D84" s="29" t="s">
        <v>295</v>
      </c>
    </row>
    <row r="85" spans="1:4">
      <c r="A85" s="28">
        <v>37340</v>
      </c>
      <c r="B85" s="29" t="s">
        <v>308</v>
      </c>
      <c r="C85" s="29">
        <v>945</v>
      </c>
      <c r="D85" s="29" t="s">
        <v>294</v>
      </c>
    </row>
    <row r="86" spans="1:4">
      <c r="A86" s="28">
        <v>37341</v>
      </c>
      <c r="B86" s="29" t="s">
        <v>309</v>
      </c>
      <c r="C86" s="29">
        <v>945</v>
      </c>
      <c r="D86" s="29" t="s">
        <v>300</v>
      </c>
    </row>
    <row r="87" spans="1:4">
      <c r="A87" s="28">
        <v>37342</v>
      </c>
      <c r="B87" s="29" t="s">
        <v>309</v>
      </c>
      <c r="C87" s="29">
        <v>945</v>
      </c>
      <c r="D87" s="29" t="s">
        <v>301</v>
      </c>
    </row>
    <row r="88" spans="1:4">
      <c r="A88" s="28">
        <v>37343</v>
      </c>
      <c r="B88" s="29" t="s">
        <v>296</v>
      </c>
      <c r="C88" s="29">
        <v>945</v>
      </c>
      <c r="D88" s="29" t="s">
        <v>298</v>
      </c>
    </row>
    <row r="89" spans="1:4">
      <c r="A89" s="28">
        <v>37344</v>
      </c>
      <c r="B89" s="29" t="s">
        <v>296</v>
      </c>
      <c r="C89" s="29">
        <v>945</v>
      </c>
      <c r="D89" s="29" t="s">
        <v>299</v>
      </c>
    </row>
    <row r="90" spans="1:4">
      <c r="A90" s="28">
        <v>37345</v>
      </c>
      <c r="B90" s="29" t="s">
        <v>296</v>
      </c>
      <c r="C90" s="29">
        <v>945</v>
      </c>
      <c r="D90" s="29" t="s">
        <v>297</v>
      </c>
    </row>
    <row r="91" spans="1:4">
      <c r="A91" s="28">
        <v>37346</v>
      </c>
      <c r="B91" s="29" t="s">
        <v>309</v>
      </c>
      <c r="C91" s="29">
        <v>945</v>
      </c>
      <c r="D91" s="29" t="s">
        <v>295</v>
      </c>
    </row>
    <row r="92" spans="1:4">
      <c r="A92" s="28">
        <v>37347</v>
      </c>
      <c r="B92" s="29" t="s">
        <v>308</v>
      </c>
      <c r="C92" s="29">
        <v>945</v>
      </c>
      <c r="D92" s="29" t="s">
        <v>294</v>
      </c>
    </row>
    <row r="93" spans="1:4">
      <c r="A93" s="28">
        <v>37348</v>
      </c>
      <c r="B93" s="29" t="s">
        <v>309</v>
      </c>
      <c r="C93" s="29">
        <v>945</v>
      </c>
      <c r="D93" s="29" t="s">
        <v>300</v>
      </c>
    </row>
    <row r="94" spans="1:4">
      <c r="A94" s="28">
        <v>37349</v>
      </c>
      <c r="B94" s="29" t="s">
        <v>309</v>
      </c>
      <c r="C94" s="29">
        <v>945</v>
      </c>
      <c r="D94" s="29" t="s">
        <v>301</v>
      </c>
    </row>
    <row r="95" spans="1:4">
      <c r="A95" s="28">
        <v>37350</v>
      </c>
      <c r="B95" s="29" t="s">
        <v>296</v>
      </c>
      <c r="C95" s="29">
        <v>945</v>
      </c>
      <c r="D95" s="29" t="s">
        <v>298</v>
      </c>
    </row>
    <row r="96" spans="1:4">
      <c r="A96" s="28">
        <v>37351</v>
      </c>
      <c r="B96" s="29" t="s">
        <v>296</v>
      </c>
      <c r="C96" s="29">
        <v>945</v>
      </c>
      <c r="D96" s="29" t="s">
        <v>299</v>
      </c>
    </row>
    <row r="97" spans="1:4">
      <c r="A97" s="28">
        <v>37352</v>
      </c>
      <c r="B97" s="29" t="s">
        <v>296</v>
      </c>
      <c r="C97" s="29">
        <v>945</v>
      </c>
      <c r="D97" s="29" t="s">
        <v>297</v>
      </c>
    </row>
    <row r="98" spans="1:4">
      <c r="A98" s="28">
        <v>37353</v>
      </c>
      <c r="B98" s="29" t="s">
        <v>309</v>
      </c>
      <c r="C98" s="29">
        <v>945</v>
      </c>
      <c r="D98" s="29" t="s">
        <v>295</v>
      </c>
    </row>
    <row r="99" spans="1:4">
      <c r="A99" s="28">
        <v>37354</v>
      </c>
      <c r="B99" s="29" t="s">
        <v>308</v>
      </c>
      <c r="C99" s="29">
        <v>945</v>
      </c>
      <c r="D99" s="29" t="s">
        <v>294</v>
      </c>
    </row>
    <row r="100" spans="1:4">
      <c r="A100" s="28">
        <v>37355</v>
      </c>
      <c r="B100" s="29" t="s">
        <v>309</v>
      </c>
      <c r="C100" s="29">
        <v>945</v>
      </c>
      <c r="D100" s="29" t="s">
        <v>300</v>
      </c>
    </row>
    <row r="101" spans="1:4">
      <c r="A101" s="28">
        <v>37356</v>
      </c>
      <c r="B101" s="29" t="s">
        <v>309</v>
      </c>
      <c r="C101" s="29">
        <v>945</v>
      </c>
      <c r="D101" s="29" t="s">
        <v>301</v>
      </c>
    </row>
    <row r="102" spans="1:4">
      <c r="A102" s="28">
        <v>37357</v>
      </c>
      <c r="B102" s="29" t="s">
        <v>296</v>
      </c>
      <c r="C102" s="29">
        <v>945</v>
      </c>
      <c r="D102" s="29" t="s">
        <v>298</v>
      </c>
    </row>
    <row r="103" spans="1:4">
      <c r="A103" s="28">
        <v>37358</v>
      </c>
      <c r="B103" s="29" t="s">
        <v>296</v>
      </c>
      <c r="C103" s="29">
        <v>945</v>
      </c>
      <c r="D103" s="29" t="s">
        <v>299</v>
      </c>
    </row>
    <row r="104" spans="1:4">
      <c r="A104" s="28">
        <v>37359</v>
      </c>
      <c r="B104" s="29" t="s">
        <v>296</v>
      </c>
      <c r="C104" s="29">
        <v>945</v>
      </c>
      <c r="D104" s="29" t="s">
        <v>297</v>
      </c>
    </row>
    <row r="105" spans="1:4">
      <c r="A105" s="28">
        <v>37360</v>
      </c>
      <c r="B105" s="29" t="s">
        <v>309</v>
      </c>
      <c r="C105" s="29">
        <v>945</v>
      </c>
      <c r="D105" s="29" t="s">
        <v>295</v>
      </c>
    </row>
    <row r="106" spans="1:4">
      <c r="A106" s="28">
        <v>37361</v>
      </c>
      <c r="B106" s="29" t="s">
        <v>308</v>
      </c>
      <c r="C106" s="29">
        <v>945</v>
      </c>
      <c r="D106" s="29" t="s">
        <v>294</v>
      </c>
    </row>
    <row r="107" spans="1:4">
      <c r="A107" s="28">
        <v>37362</v>
      </c>
      <c r="B107" s="29" t="s">
        <v>309</v>
      </c>
      <c r="C107" s="29">
        <v>945</v>
      </c>
      <c r="D107" s="29" t="s">
        <v>300</v>
      </c>
    </row>
    <row r="108" spans="1:4">
      <c r="A108" s="28">
        <v>37363</v>
      </c>
      <c r="B108" s="29" t="s">
        <v>309</v>
      </c>
      <c r="C108" s="29">
        <v>945</v>
      </c>
      <c r="D108" s="29" t="s">
        <v>301</v>
      </c>
    </row>
    <row r="109" spans="1:4">
      <c r="A109" s="28">
        <v>37364</v>
      </c>
      <c r="B109" s="29" t="s">
        <v>296</v>
      </c>
      <c r="C109" s="29">
        <v>945</v>
      </c>
      <c r="D109" s="29" t="s">
        <v>298</v>
      </c>
    </row>
    <row r="110" spans="1:4">
      <c r="A110" s="28">
        <v>37365</v>
      </c>
      <c r="B110" s="29" t="s">
        <v>296</v>
      </c>
      <c r="C110" s="29">
        <v>945</v>
      </c>
      <c r="D110" s="29" t="s">
        <v>299</v>
      </c>
    </row>
    <row r="111" spans="1:4">
      <c r="A111" s="28">
        <v>37366</v>
      </c>
      <c r="B111" s="29" t="s">
        <v>296</v>
      </c>
      <c r="C111" s="29">
        <v>945</v>
      </c>
      <c r="D111" s="29" t="s">
        <v>297</v>
      </c>
    </row>
    <row r="112" spans="1:4">
      <c r="A112" s="28">
        <v>37367</v>
      </c>
      <c r="B112" s="29" t="s">
        <v>309</v>
      </c>
      <c r="C112" s="29">
        <v>945</v>
      </c>
      <c r="D112" s="29" t="s">
        <v>295</v>
      </c>
    </row>
    <row r="113" spans="1:4">
      <c r="A113" s="28">
        <v>37368</v>
      </c>
      <c r="B113" s="29" t="s">
        <v>308</v>
      </c>
      <c r="C113" s="29">
        <v>945</v>
      </c>
      <c r="D113" s="29" t="s">
        <v>294</v>
      </c>
    </row>
    <row r="114" spans="1:4">
      <c r="A114" s="28">
        <v>37369</v>
      </c>
      <c r="B114" s="29" t="s">
        <v>309</v>
      </c>
      <c r="C114" s="29">
        <v>945</v>
      </c>
      <c r="D114" s="29" t="s">
        <v>300</v>
      </c>
    </row>
    <row r="115" spans="1:4">
      <c r="A115" s="28">
        <v>37370</v>
      </c>
      <c r="B115" s="29" t="s">
        <v>309</v>
      </c>
      <c r="C115" s="29">
        <v>945</v>
      </c>
      <c r="D115" s="29" t="s">
        <v>301</v>
      </c>
    </row>
    <row r="116" spans="1:4">
      <c r="A116" s="28">
        <v>37371</v>
      </c>
      <c r="B116" s="29" t="s">
        <v>296</v>
      </c>
      <c r="C116" s="29">
        <v>945</v>
      </c>
      <c r="D116" s="29" t="s">
        <v>298</v>
      </c>
    </row>
    <row r="117" spans="1:4">
      <c r="A117" s="28">
        <v>37372</v>
      </c>
      <c r="B117" s="29" t="s">
        <v>296</v>
      </c>
      <c r="C117" s="29">
        <v>945</v>
      </c>
      <c r="D117" s="29" t="s">
        <v>299</v>
      </c>
    </row>
    <row r="118" spans="1:4">
      <c r="A118" s="28">
        <v>37373</v>
      </c>
      <c r="B118" s="29" t="s">
        <v>296</v>
      </c>
      <c r="C118" s="29">
        <v>945</v>
      </c>
      <c r="D118" s="29" t="s">
        <v>297</v>
      </c>
    </row>
    <row r="119" spans="1:4">
      <c r="A119" s="28">
        <v>37374</v>
      </c>
      <c r="B119" s="29" t="s">
        <v>309</v>
      </c>
      <c r="C119" s="29">
        <v>945</v>
      </c>
      <c r="D119" s="29" t="s">
        <v>295</v>
      </c>
    </row>
    <row r="120" spans="1:4">
      <c r="A120" s="28">
        <v>37375</v>
      </c>
      <c r="B120" s="29" t="s">
        <v>308</v>
      </c>
      <c r="C120" s="29">
        <v>945</v>
      </c>
      <c r="D120" s="29" t="s">
        <v>294</v>
      </c>
    </row>
    <row r="121" spans="1:4">
      <c r="A121" s="28">
        <v>37376</v>
      </c>
      <c r="B121" s="29" t="s">
        <v>309</v>
      </c>
      <c r="C121" s="29">
        <v>945</v>
      </c>
      <c r="D121" s="29" t="s">
        <v>300</v>
      </c>
    </row>
    <row r="122" spans="1:4">
      <c r="A122" s="28">
        <v>37377</v>
      </c>
      <c r="B122" s="29" t="s">
        <v>296</v>
      </c>
      <c r="C122" s="29">
        <v>945</v>
      </c>
      <c r="D122" s="29" t="s">
        <v>299</v>
      </c>
    </row>
    <row r="123" spans="1:4">
      <c r="A123" s="28">
        <v>37377</v>
      </c>
      <c r="B123" s="29" t="s">
        <v>309</v>
      </c>
      <c r="C123" s="29">
        <v>945</v>
      </c>
      <c r="D123" s="29" t="s">
        <v>301</v>
      </c>
    </row>
    <row r="124" spans="1:4">
      <c r="A124" s="28">
        <v>37378</v>
      </c>
      <c r="B124" s="29" t="s">
        <v>296</v>
      </c>
      <c r="C124" s="29">
        <v>945</v>
      </c>
      <c r="D124" s="29" t="s">
        <v>298</v>
      </c>
    </row>
    <row r="125" spans="1:4">
      <c r="A125" s="28">
        <v>37379</v>
      </c>
      <c r="B125" s="29" t="s">
        <v>296</v>
      </c>
      <c r="C125" s="29">
        <v>945</v>
      </c>
      <c r="D125" s="29" t="s">
        <v>299</v>
      </c>
    </row>
    <row r="126" spans="1:4">
      <c r="A126" s="28">
        <v>37380</v>
      </c>
      <c r="B126" s="29" t="s">
        <v>296</v>
      </c>
      <c r="C126" s="29">
        <v>945</v>
      </c>
      <c r="D126" s="29" t="s">
        <v>297</v>
      </c>
    </row>
    <row r="127" spans="1:4">
      <c r="A127" s="28">
        <v>37381</v>
      </c>
      <c r="B127" s="29" t="s">
        <v>309</v>
      </c>
      <c r="C127" s="29">
        <v>945</v>
      </c>
      <c r="D127" s="29" t="s">
        <v>295</v>
      </c>
    </row>
    <row r="128" spans="1:4">
      <c r="A128" s="28">
        <v>37382</v>
      </c>
      <c r="B128" s="29" t="s">
        <v>308</v>
      </c>
      <c r="C128" s="29">
        <v>945</v>
      </c>
      <c r="D128" s="29" t="s">
        <v>294</v>
      </c>
    </row>
    <row r="129" spans="1:4">
      <c r="A129" s="28">
        <v>37383</v>
      </c>
      <c r="B129" s="29" t="s">
        <v>309</v>
      </c>
      <c r="C129" s="29">
        <v>945</v>
      </c>
      <c r="D129" s="29" t="s">
        <v>300</v>
      </c>
    </row>
    <row r="130" spans="1:4">
      <c r="A130" s="28">
        <v>37384</v>
      </c>
      <c r="B130" s="29" t="s">
        <v>309</v>
      </c>
      <c r="C130" s="29">
        <v>945</v>
      </c>
      <c r="D130" s="29" t="s">
        <v>301</v>
      </c>
    </row>
    <row r="131" spans="1:4">
      <c r="A131" s="28">
        <v>37385</v>
      </c>
      <c r="B131" s="29" t="s">
        <v>296</v>
      </c>
      <c r="C131" s="29">
        <v>945</v>
      </c>
      <c r="D131" s="29" t="s">
        <v>298</v>
      </c>
    </row>
    <row r="132" spans="1:4">
      <c r="A132" s="28">
        <v>37386</v>
      </c>
      <c r="B132" s="29" t="s">
        <v>296</v>
      </c>
      <c r="C132" s="29">
        <v>945</v>
      </c>
      <c r="D132" s="29" t="s">
        <v>299</v>
      </c>
    </row>
    <row r="133" spans="1:4">
      <c r="A133" s="28">
        <v>37387</v>
      </c>
      <c r="B133" s="29" t="s">
        <v>296</v>
      </c>
      <c r="C133" s="29">
        <v>945</v>
      </c>
      <c r="D133" s="29" t="s">
        <v>297</v>
      </c>
    </row>
    <row r="134" spans="1:4">
      <c r="A134" s="28">
        <v>37388</v>
      </c>
      <c r="B134" s="29" t="s">
        <v>309</v>
      </c>
      <c r="C134" s="29">
        <v>945</v>
      </c>
      <c r="D134" s="29" t="s">
        <v>295</v>
      </c>
    </row>
    <row r="135" spans="1:4">
      <c r="A135" s="28">
        <v>37389</v>
      </c>
      <c r="B135" s="29" t="s">
        <v>308</v>
      </c>
      <c r="C135" s="29">
        <v>945</v>
      </c>
      <c r="D135" s="29" t="s">
        <v>294</v>
      </c>
    </row>
    <row r="136" spans="1:4">
      <c r="A136" s="28">
        <v>37390</v>
      </c>
      <c r="B136" s="29" t="s">
        <v>309</v>
      </c>
      <c r="C136" s="29">
        <v>945</v>
      </c>
      <c r="D136" s="29" t="s">
        <v>300</v>
      </c>
    </row>
    <row r="137" spans="1:4">
      <c r="A137" s="28">
        <v>37391</v>
      </c>
      <c r="B137" s="29" t="s">
        <v>309</v>
      </c>
      <c r="C137" s="29">
        <v>945</v>
      </c>
      <c r="D137" s="29" t="s">
        <v>301</v>
      </c>
    </row>
    <row r="138" spans="1:4">
      <c r="A138" s="28">
        <v>37392</v>
      </c>
      <c r="B138" s="29" t="s">
        <v>296</v>
      </c>
      <c r="C138" s="29">
        <v>945</v>
      </c>
      <c r="D138" s="29" t="s">
        <v>298</v>
      </c>
    </row>
    <row r="139" spans="1:4">
      <c r="A139" s="28">
        <v>37393</v>
      </c>
      <c r="B139" s="29" t="s">
        <v>296</v>
      </c>
      <c r="C139" s="29">
        <v>945</v>
      </c>
      <c r="D139" s="29" t="s">
        <v>299</v>
      </c>
    </row>
    <row r="140" spans="1:4">
      <c r="A140" s="28">
        <v>37394</v>
      </c>
      <c r="B140" s="29" t="s">
        <v>296</v>
      </c>
      <c r="C140" s="29">
        <v>945</v>
      </c>
      <c r="D140" s="29" t="s">
        <v>297</v>
      </c>
    </row>
    <row r="141" spans="1:4">
      <c r="A141" s="28">
        <v>37395</v>
      </c>
      <c r="B141" s="29" t="s">
        <v>309</v>
      </c>
      <c r="C141" s="29">
        <v>945</v>
      </c>
      <c r="D141" s="29" t="s">
        <v>295</v>
      </c>
    </row>
    <row r="142" spans="1:4">
      <c r="A142" s="28">
        <v>37396</v>
      </c>
      <c r="B142" s="29" t="s">
        <v>308</v>
      </c>
      <c r="C142" s="29">
        <v>945</v>
      </c>
      <c r="D142" s="29" t="s">
        <v>294</v>
      </c>
    </row>
    <row r="143" spans="1:4">
      <c r="A143" s="28">
        <v>37397</v>
      </c>
      <c r="B143" s="29" t="s">
        <v>309</v>
      </c>
      <c r="C143" s="29">
        <v>945</v>
      </c>
      <c r="D143" s="29" t="s">
        <v>300</v>
      </c>
    </row>
    <row r="144" spans="1:4">
      <c r="A144" s="28">
        <v>37398</v>
      </c>
      <c r="B144" s="29" t="s">
        <v>309</v>
      </c>
      <c r="C144" s="29">
        <v>945</v>
      </c>
      <c r="D144" s="29" t="s">
        <v>301</v>
      </c>
    </row>
    <row r="145" spans="1:4">
      <c r="A145" s="28">
        <v>37399</v>
      </c>
      <c r="B145" s="29" t="s">
        <v>296</v>
      </c>
      <c r="C145" s="29">
        <v>945</v>
      </c>
      <c r="D145" s="29" t="s">
        <v>298</v>
      </c>
    </row>
    <row r="146" spans="1:4">
      <c r="A146" s="28">
        <v>37401</v>
      </c>
      <c r="B146" s="29" t="s">
        <v>296</v>
      </c>
      <c r="C146" s="29">
        <v>945</v>
      </c>
      <c r="D146" s="29" t="s">
        <v>297</v>
      </c>
    </row>
    <row r="147" spans="1:4">
      <c r="A147" s="28">
        <v>37402</v>
      </c>
      <c r="B147" s="29" t="s">
        <v>309</v>
      </c>
      <c r="C147" s="29">
        <v>945</v>
      </c>
      <c r="D147" s="29" t="s">
        <v>295</v>
      </c>
    </row>
    <row r="148" spans="1:4">
      <c r="A148" s="28">
        <v>37403</v>
      </c>
      <c r="B148" s="29" t="s">
        <v>308</v>
      </c>
      <c r="C148" s="29">
        <v>945</v>
      </c>
      <c r="D148" s="29" t="s">
        <v>294</v>
      </c>
    </row>
    <row r="149" spans="1:4">
      <c r="A149" s="28">
        <v>37404</v>
      </c>
      <c r="B149" s="29" t="s">
        <v>309</v>
      </c>
      <c r="C149" s="29">
        <v>945</v>
      </c>
      <c r="D149" s="29" t="s">
        <v>300</v>
      </c>
    </row>
    <row r="150" spans="1:4">
      <c r="A150" s="28">
        <v>37405</v>
      </c>
      <c r="B150" s="29" t="s">
        <v>309</v>
      </c>
      <c r="C150" s="29">
        <v>945</v>
      </c>
      <c r="D150" s="29" t="s">
        <v>301</v>
      </c>
    </row>
    <row r="151" spans="1:4">
      <c r="A151" s="28">
        <v>37406</v>
      </c>
      <c r="B151" s="29" t="s">
        <v>296</v>
      </c>
      <c r="C151" s="29">
        <v>945</v>
      </c>
      <c r="D151" s="29" t="s">
        <v>298</v>
      </c>
    </row>
    <row r="152" spans="1:4">
      <c r="A152" s="28">
        <v>37407</v>
      </c>
      <c r="B152" s="29" t="s">
        <v>296</v>
      </c>
      <c r="C152" s="29">
        <v>945</v>
      </c>
      <c r="D152" s="29" t="s">
        <v>299</v>
      </c>
    </row>
    <row r="153" spans="1:4">
      <c r="A153" s="28">
        <v>37408</v>
      </c>
      <c r="B153" s="29" t="s">
        <v>296</v>
      </c>
      <c r="C153" s="29">
        <v>945</v>
      </c>
      <c r="D153" s="29" t="s">
        <v>297</v>
      </c>
    </row>
    <row r="154" spans="1:4">
      <c r="A154" s="28">
        <v>37409</v>
      </c>
      <c r="B154" s="29" t="s">
        <v>309</v>
      </c>
      <c r="C154" s="29">
        <v>945</v>
      </c>
      <c r="D154" s="29" t="s">
        <v>295</v>
      </c>
    </row>
    <row r="155" spans="1:4">
      <c r="A155" s="28">
        <v>37410</v>
      </c>
      <c r="B155" s="29" t="s">
        <v>308</v>
      </c>
      <c r="C155" s="29">
        <v>945</v>
      </c>
      <c r="D155" s="29" t="s">
        <v>294</v>
      </c>
    </row>
    <row r="156" spans="1:4">
      <c r="A156" s="28">
        <v>37411</v>
      </c>
      <c r="B156" s="29" t="s">
        <v>309</v>
      </c>
      <c r="C156" s="29">
        <v>945</v>
      </c>
      <c r="D156" s="29" t="s">
        <v>300</v>
      </c>
    </row>
    <row r="157" spans="1:4">
      <c r="A157" s="28">
        <v>37412</v>
      </c>
      <c r="B157" s="29" t="s">
        <v>309</v>
      </c>
      <c r="C157" s="29">
        <v>945</v>
      </c>
      <c r="D157" s="29" t="s">
        <v>301</v>
      </c>
    </row>
    <row r="158" spans="1:4">
      <c r="A158" s="28">
        <v>37413</v>
      </c>
      <c r="B158" s="29" t="s">
        <v>296</v>
      </c>
      <c r="C158" s="29">
        <v>945</v>
      </c>
      <c r="D158" s="29" t="s">
        <v>298</v>
      </c>
    </row>
    <row r="159" spans="1:4">
      <c r="A159" s="28">
        <v>37414</v>
      </c>
      <c r="B159" s="29" t="s">
        <v>296</v>
      </c>
      <c r="C159" s="29">
        <v>945</v>
      </c>
      <c r="D159" s="29" t="s">
        <v>299</v>
      </c>
    </row>
    <row r="160" spans="1:4">
      <c r="A160" s="28">
        <v>37415</v>
      </c>
      <c r="B160" s="29" t="s">
        <v>296</v>
      </c>
      <c r="C160" s="29">
        <v>945</v>
      </c>
      <c r="D160" s="29" t="s">
        <v>297</v>
      </c>
    </row>
    <row r="161" spans="1:4">
      <c r="A161" s="28">
        <v>37416</v>
      </c>
      <c r="B161" s="29" t="s">
        <v>309</v>
      </c>
      <c r="C161" s="29">
        <v>945</v>
      </c>
      <c r="D161" s="29" t="s">
        <v>295</v>
      </c>
    </row>
    <row r="162" spans="1:4">
      <c r="A162" s="28">
        <v>37417</v>
      </c>
      <c r="B162" s="29" t="s">
        <v>308</v>
      </c>
      <c r="C162" s="29">
        <v>945</v>
      </c>
      <c r="D162" s="29" t="s">
        <v>294</v>
      </c>
    </row>
    <row r="163" spans="1:4">
      <c r="A163" s="28">
        <v>37418</v>
      </c>
      <c r="B163" s="29" t="s">
        <v>309</v>
      </c>
      <c r="C163" s="29">
        <v>945</v>
      </c>
      <c r="D163" s="29" t="s">
        <v>300</v>
      </c>
    </row>
    <row r="164" spans="1:4">
      <c r="A164" s="28">
        <v>37419</v>
      </c>
      <c r="B164" s="29" t="s">
        <v>309</v>
      </c>
      <c r="C164" s="29">
        <v>945</v>
      </c>
      <c r="D164" s="29" t="s">
        <v>301</v>
      </c>
    </row>
    <row r="165" spans="1:4">
      <c r="A165" s="28">
        <v>37420</v>
      </c>
      <c r="B165" s="29" t="s">
        <v>296</v>
      </c>
      <c r="C165" s="29">
        <v>945</v>
      </c>
      <c r="D165" s="29" t="s">
        <v>298</v>
      </c>
    </row>
    <row r="166" spans="1:4">
      <c r="A166" s="28">
        <v>37421</v>
      </c>
      <c r="B166" s="29" t="s">
        <v>296</v>
      </c>
      <c r="C166" s="29">
        <v>945</v>
      </c>
      <c r="D166" s="29" t="s">
        <v>299</v>
      </c>
    </row>
    <row r="167" spans="1:4">
      <c r="A167" s="28">
        <v>37422</v>
      </c>
      <c r="B167" s="29" t="s">
        <v>296</v>
      </c>
      <c r="C167" s="29">
        <v>945</v>
      </c>
      <c r="D167" s="29" t="s">
        <v>297</v>
      </c>
    </row>
    <row r="168" spans="1:4">
      <c r="A168" s="28">
        <v>37423</v>
      </c>
      <c r="B168" s="29" t="s">
        <v>309</v>
      </c>
      <c r="C168" s="29">
        <v>945</v>
      </c>
      <c r="D168" s="29" t="s">
        <v>295</v>
      </c>
    </row>
    <row r="169" spans="1:4">
      <c r="A169" s="28">
        <v>37424</v>
      </c>
      <c r="B169" s="29" t="s">
        <v>308</v>
      </c>
      <c r="C169" s="29">
        <v>945</v>
      </c>
      <c r="D169" s="29" t="s">
        <v>294</v>
      </c>
    </row>
    <row r="170" spans="1:4">
      <c r="A170" s="28">
        <v>37425</v>
      </c>
      <c r="B170" s="29" t="s">
        <v>309</v>
      </c>
      <c r="C170" s="29">
        <v>945</v>
      </c>
      <c r="D170" s="29" t="s">
        <v>300</v>
      </c>
    </row>
    <row r="171" spans="1:4">
      <c r="A171" s="28">
        <v>37426</v>
      </c>
      <c r="B171" s="29" t="s">
        <v>309</v>
      </c>
      <c r="C171" s="29">
        <v>945</v>
      </c>
      <c r="D171" s="29" t="s">
        <v>301</v>
      </c>
    </row>
    <row r="172" spans="1:4">
      <c r="A172" s="28">
        <v>37427</v>
      </c>
      <c r="B172" s="29" t="s">
        <v>296</v>
      </c>
      <c r="C172" s="29">
        <v>945</v>
      </c>
      <c r="D172" s="29" t="s">
        <v>298</v>
      </c>
    </row>
    <row r="173" spans="1:4">
      <c r="A173" s="28">
        <v>37428</v>
      </c>
      <c r="B173" s="29" t="s">
        <v>296</v>
      </c>
      <c r="C173" s="29">
        <v>945</v>
      </c>
      <c r="D173" s="29" t="s">
        <v>299</v>
      </c>
    </row>
    <row r="174" spans="1:4">
      <c r="A174" s="28">
        <v>37429</v>
      </c>
      <c r="B174" s="29" t="s">
        <v>296</v>
      </c>
      <c r="C174" s="29">
        <v>945</v>
      </c>
      <c r="D174" s="29" t="s">
        <v>297</v>
      </c>
    </row>
    <row r="175" spans="1:4">
      <c r="A175" s="28">
        <v>37430</v>
      </c>
      <c r="B175" s="29" t="s">
        <v>309</v>
      </c>
      <c r="C175" s="29">
        <v>945</v>
      </c>
      <c r="D175" s="29" t="s">
        <v>295</v>
      </c>
    </row>
    <row r="176" spans="1:4">
      <c r="A176" s="28">
        <v>37431</v>
      </c>
      <c r="B176" s="29" t="s">
        <v>308</v>
      </c>
      <c r="C176" s="29">
        <v>945</v>
      </c>
      <c r="D176" s="29" t="s">
        <v>294</v>
      </c>
    </row>
    <row r="177" spans="1:4">
      <c r="A177" s="28">
        <v>37432</v>
      </c>
      <c r="B177" s="29" t="s">
        <v>309</v>
      </c>
      <c r="C177" s="29">
        <v>945</v>
      </c>
      <c r="D177" s="29" t="s">
        <v>300</v>
      </c>
    </row>
    <row r="178" spans="1:4">
      <c r="A178" s="28">
        <v>37433</v>
      </c>
      <c r="B178" s="29" t="s">
        <v>309</v>
      </c>
      <c r="C178" s="29">
        <v>945</v>
      </c>
      <c r="D178" s="29" t="s">
        <v>301</v>
      </c>
    </row>
    <row r="179" spans="1:4">
      <c r="A179" s="28">
        <v>37434</v>
      </c>
      <c r="B179" s="29" t="s">
        <v>296</v>
      </c>
      <c r="C179" s="29">
        <v>945</v>
      </c>
      <c r="D179" s="29" t="s">
        <v>298</v>
      </c>
    </row>
    <row r="180" spans="1:4">
      <c r="A180" s="28">
        <v>37435</v>
      </c>
      <c r="B180" s="29" t="s">
        <v>296</v>
      </c>
      <c r="C180" s="29">
        <v>945</v>
      </c>
      <c r="D180" s="29" t="s">
        <v>299</v>
      </c>
    </row>
    <row r="181" spans="1:4">
      <c r="A181" s="28">
        <v>37436</v>
      </c>
      <c r="B181" s="29" t="s">
        <v>296</v>
      </c>
      <c r="C181" s="29">
        <v>945</v>
      </c>
      <c r="D181" s="29" t="s">
        <v>297</v>
      </c>
    </row>
    <row r="182" spans="1:4">
      <c r="A182" s="28">
        <v>37437</v>
      </c>
      <c r="B182" s="29" t="s">
        <v>308</v>
      </c>
      <c r="C182" s="29">
        <v>800</v>
      </c>
      <c r="D182" s="29" t="s">
        <v>294</v>
      </c>
    </row>
    <row r="183" spans="1:4">
      <c r="A183" s="28">
        <v>37437</v>
      </c>
      <c r="B183" s="29" t="s">
        <v>308</v>
      </c>
      <c r="C183" s="29">
        <v>800</v>
      </c>
      <c r="D183" s="29" t="s">
        <v>294</v>
      </c>
    </row>
    <row r="184" spans="1:4">
      <c r="A184" s="28">
        <v>37437</v>
      </c>
      <c r="B184" s="29" t="s">
        <v>309</v>
      </c>
      <c r="C184" s="29">
        <v>945</v>
      </c>
      <c r="D184" s="29" t="s">
        <v>295</v>
      </c>
    </row>
    <row r="185" spans="1:4">
      <c r="A185" s="28">
        <v>37438</v>
      </c>
      <c r="B185" s="29" t="s">
        <v>308</v>
      </c>
      <c r="C185" s="29">
        <v>945</v>
      </c>
      <c r="D185" s="29" t="s">
        <v>294</v>
      </c>
    </row>
    <row r="186" spans="1:4">
      <c r="A186" s="28">
        <v>37439</v>
      </c>
      <c r="B186" s="29" t="s">
        <v>309</v>
      </c>
      <c r="C186" s="29">
        <v>945</v>
      </c>
      <c r="D186" s="29" t="s">
        <v>300</v>
      </c>
    </row>
    <row r="187" spans="1:4">
      <c r="A187" s="28">
        <v>37440</v>
      </c>
      <c r="B187" s="29" t="s">
        <v>309</v>
      </c>
      <c r="C187" s="29">
        <v>945</v>
      </c>
      <c r="D187" s="29" t="s">
        <v>301</v>
      </c>
    </row>
    <row r="188" spans="1:4">
      <c r="A188" s="28">
        <v>37441</v>
      </c>
      <c r="B188" s="29" t="s">
        <v>296</v>
      </c>
      <c r="C188" s="29">
        <v>945</v>
      </c>
      <c r="D188" s="29" t="s">
        <v>298</v>
      </c>
    </row>
    <row r="189" spans="1:4">
      <c r="A189" s="28">
        <v>37442</v>
      </c>
      <c r="B189" s="29" t="s">
        <v>296</v>
      </c>
      <c r="C189" s="29">
        <v>945</v>
      </c>
      <c r="D189" s="29" t="s">
        <v>299</v>
      </c>
    </row>
    <row r="190" spans="1:4">
      <c r="A190" s="28">
        <v>37443</v>
      </c>
      <c r="B190" s="29" t="s">
        <v>296</v>
      </c>
      <c r="C190" s="29">
        <v>945</v>
      </c>
      <c r="D190" s="29" t="s">
        <v>297</v>
      </c>
    </row>
    <row r="191" spans="1:4">
      <c r="A191" s="28">
        <v>37444</v>
      </c>
      <c r="B191" s="29" t="s">
        <v>309</v>
      </c>
      <c r="C191" s="29">
        <v>945</v>
      </c>
      <c r="D191" s="29" t="s">
        <v>295</v>
      </c>
    </row>
    <row r="192" spans="1:4">
      <c r="A192" s="28">
        <v>37445</v>
      </c>
      <c r="B192" s="29" t="s">
        <v>308</v>
      </c>
      <c r="C192" s="29">
        <v>945</v>
      </c>
      <c r="D192" s="29" t="s">
        <v>294</v>
      </c>
    </row>
    <row r="193" spans="1:4">
      <c r="A193" s="28">
        <v>37446</v>
      </c>
      <c r="B193" s="29" t="s">
        <v>309</v>
      </c>
      <c r="C193" s="29">
        <v>945</v>
      </c>
      <c r="D193" s="29" t="s">
        <v>300</v>
      </c>
    </row>
    <row r="194" spans="1:4">
      <c r="A194" s="28">
        <v>37447</v>
      </c>
      <c r="B194" s="29" t="s">
        <v>309</v>
      </c>
      <c r="C194" s="29">
        <v>945</v>
      </c>
      <c r="D194" s="29" t="s">
        <v>301</v>
      </c>
    </row>
    <row r="195" spans="1:4">
      <c r="A195" s="28">
        <v>37448</v>
      </c>
      <c r="B195" s="29" t="s">
        <v>296</v>
      </c>
      <c r="C195" s="29">
        <v>945</v>
      </c>
      <c r="D195" s="29" t="s">
        <v>298</v>
      </c>
    </row>
    <row r="196" spans="1:4">
      <c r="A196" s="28">
        <v>37449</v>
      </c>
      <c r="B196" s="29" t="s">
        <v>296</v>
      </c>
      <c r="C196" s="29">
        <v>945</v>
      </c>
      <c r="D196" s="29" t="s">
        <v>299</v>
      </c>
    </row>
    <row r="197" spans="1:4">
      <c r="A197" s="28">
        <v>37450</v>
      </c>
      <c r="B197" s="29" t="s">
        <v>296</v>
      </c>
      <c r="C197" s="29">
        <v>945</v>
      </c>
      <c r="D197" s="29" t="s">
        <v>297</v>
      </c>
    </row>
    <row r="198" spans="1:4">
      <c r="A198" s="28">
        <v>37451</v>
      </c>
      <c r="B198" s="29" t="s">
        <v>309</v>
      </c>
      <c r="C198" s="29">
        <v>945</v>
      </c>
      <c r="D198" s="29" t="s">
        <v>295</v>
      </c>
    </row>
    <row r="199" spans="1:4">
      <c r="A199" s="28">
        <v>37452</v>
      </c>
      <c r="B199" s="29" t="s">
        <v>308</v>
      </c>
      <c r="C199" s="29">
        <v>945</v>
      </c>
      <c r="D199" s="29" t="s">
        <v>294</v>
      </c>
    </row>
    <row r="200" spans="1:4">
      <c r="A200" s="28">
        <v>37453</v>
      </c>
      <c r="B200" s="29" t="s">
        <v>309</v>
      </c>
      <c r="C200" s="29">
        <v>945</v>
      </c>
      <c r="D200" s="29" t="s">
        <v>300</v>
      </c>
    </row>
    <row r="201" spans="1:4">
      <c r="A201" s="28">
        <v>37454</v>
      </c>
      <c r="B201" s="29" t="s">
        <v>309</v>
      </c>
      <c r="C201" s="29">
        <v>945</v>
      </c>
      <c r="D201" s="29" t="s">
        <v>301</v>
      </c>
    </row>
    <row r="202" spans="1:4">
      <c r="A202" s="28">
        <v>37455</v>
      </c>
      <c r="B202" s="29" t="s">
        <v>296</v>
      </c>
      <c r="C202" s="29">
        <v>945</v>
      </c>
      <c r="D202" s="29" t="s">
        <v>298</v>
      </c>
    </row>
    <row r="203" spans="1:4">
      <c r="A203" s="28">
        <v>37456</v>
      </c>
      <c r="B203" s="29" t="s">
        <v>296</v>
      </c>
      <c r="C203" s="29">
        <v>945</v>
      </c>
      <c r="D203" s="29" t="s">
        <v>299</v>
      </c>
    </row>
    <row r="204" spans="1:4">
      <c r="A204" s="28">
        <v>37457</v>
      </c>
      <c r="B204" s="29" t="s">
        <v>296</v>
      </c>
      <c r="C204" s="29">
        <v>945</v>
      </c>
      <c r="D204" s="29" t="s">
        <v>297</v>
      </c>
    </row>
    <row r="205" spans="1:4">
      <c r="A205" s="28">
        <v>37458</v>
      </c>
      <c r="B205" s="29" t="s">
        <v>309</v>
      </c>
      <c r="C205" s="29">
        <v>945</v>
      </c>
      <c r="D205" s="29" t="s">
        <v>295</v>
      </c>
    </row>
    <row r="206" spans="1:4">
      <c r="A206" s="28">
        <v>37459</v>
      </c>
      <c r="B206" s="29" t="s">
        <v>308</v>
      </c>
      <c r="C206" s="29">
        <v>945</v>
      </c>
      <c r="D206" s="29" t="s">
        <v>294</v>
      </c>
    </row>
    <row r="207" spans="1:4">
      <c r="A207" s="28">
        <v>37460</v>
      </c>
      <c r="B207" s="29" t="s">
        <v>309</v>
      </c>
      <c r="C207" s="29">
        <v>945</v>
      </c>
      <c r="D207" s="29" t="s">
        <v>300</v>
      </c>
    </row>
    <row r="208" spans="1:4">
      <c r="A208" s="28">
        <v>37461</v>
      </c>
      <c r="B208" s="29" t="s">
        <v>309</v>
      </c>
      <c r="C208" s="29">
        <v>945</v>
      </c>
      <c r="D208" s="29" t="s">
        <v>301</v>
      </c>
    </row>
    <row r="209" spans="1:4">
      <c r="A209" s="28">
        <v>37462</v>
      </c>
      <c r="B209" s="29" t="s">
        <v>296</v>
      </c>
      <c r="C209" s="29">
        <v>945</v>
      </c>
      <c r="D209" s="29" t="s">
        <v>298</v>
      </c>
    </row>
    <row r="210" spans="1:4">
      <c r="A210" s="28">
        <v>37463</v>
      </c>
      <c r="B210" s="29" t="s">
        <v>296</v>
      </c>
      <c r="C210" s="29">
        <v>945</v>
      </c>
      <c r="D210" s="29" t="s">
        <v>299</v>
      </c>
    </row>
    <row r="211" spans="1:4">
      <c r="A211" s="28">
        <v>37464</v>
      </c>
      <c r="B211" s="29" t="s">
        <v>296</v>
      </c>
      <c r="C211" s="29">
        <v>945</v>
      </c>
      <c r="D211" s="29" t="s">
        <v>297</v>
      </c>
    </row>
    <row r="212" spans="1:4">
      <c r="A212" s="28">
        <v>37465</v>
      </c>
      <c r="B212" s="29" t="s">
        <v>309</v>
      </c>
      <c r="C212" s="29">
        <v>945</v>
      </c>
      <c r="D212" s="29" t="s">
        <v>295</v>
      </c>
    </row>
    <row r="213" spans="1:4">
      <c r="A213" s="28">
        <v>37466</v>
      </c>
      <c r="B213" s="29" t="s">
        <v>308</v>
      </c>
      <c r="C213" s="29">
        <v>945</v>
      </c>
      <c r="D213" s="29" t="s">
        <v>294</v>
      </c>
    </row>
    <row r="214" spans="1:4">
      <c r="A214" s="28">
        <v>37467</v>
      </c>
      <c r="B214" s="29" t="s">
        <v>309</v>
      </c>
      <c r="C214" s="29">
        <v>945</v>
      </c>
      <c r="D214" s="29" t="s">
        <v>300</v>
      </c>
    </row>
    <row r="215" spans="1:4">
      <c r="A215" s="28">
        <v>37468</v>
      </c>
      <c r="B215" s="29" t="s">
        <v>309</v>
      </c>
      <c r="C215" s="29">
        <v>945</v>
      </c>
      <c r="D215" s="29" t="s">
        <v>301</v>
      </c>
    </row>
    <row r="216" spans="1:4">
      <c r="A216" s="28">
        <v>37469</v>
      </c>
      <c r="B216" s="29" t="s">
        <v>296</v>
      </c>
      <c r="C216" s="29">
        <v>945</v>
      </c>
      <c r="D216" s="29" t="s">
        <v>298</v>
      </c>
    </row>
    <row r="217" spans="1:4">
      <c r="A217" s="28">
        <v>37470</v>
      </c>
      <c r="B217" s="29" t="s">
        <v>296</v>
      </c>
      <c r="C217" s="29">
        <v>945</v>
      </c>
      <c r="D217" s="29" t="s">
        <v>299</v>
      </c>
    </row>
    <row r="218" spans="1:4">
      <c r="A218" s="28">
        <v>37471</v>
      </c>
      <c r="B218" s="29" t="s">
        <v>296</v>
      </c>
      <c r="C218" s="29">
        <v>945</v>
      </c>
      <c r="D218" s="29" t="s">
        <v>297</v>
      </c>
    </row>
    <row r="219" spans="1:4">
      <c r="A219" s="28">
        <v>37472</v>
      </c>
      <c r="B219" s="29" t="s">
        <v>309</v>
      </c>
      <c r="C219" s="29">
        <v>945</v>
      </c>
      <c r="D219" s="29" t="s">
        <v>295</v>
      </c>
    </row>
    <row r="220" spans="1:4">
      <c r="A220" s="28">
        <v>37473</v>
      </c>
      <c r="B220" s="29" t="s">
        <v>308</v>
      </c>
      <c r="C220" s="29">
        <v>945</v>
      </c>
      <c r="D220" s="29" t="s">
        <v>294</v>
      </c>
    </row>
    <row r="221" spans="1:4">
      <c r="A221" s="28">
        <v>37474</v>
      </c>
      <c r="B221" s="29" t="s">
        <v>309</v>
      </c>
      <c r="C221" s="29">
        <v>945</v>
      </c>
      <c r="D221" s="29" t="s">
        <v>300</v>
      </c>
    </row>
    <row r="222" spans="1:4">
      <c r="A222" s="28">
        <v>37475</v>
      </c>
      <c r="B222" s="29" t="s">
        <v>309</v>
      </c>
      <c r="C222" s="29">
        <v>945</v>
      </c>
      <c r="D222" s="29" t="s">
        <v>301</v>
      </c>
    </row>
    <row r="223" spans="1:4">
      <c r="A223" s="28">
        <v>37476</v>
      </c>
      <c r="B223" s="29" t="s">
        <v>296</v>
      </c>
      <c r="C223" s="29">
        <v>945</v>
      </c>
      <c r="D223" s="29" t="s">
        <v>298</v>
      </c>
    </row>
    <row r="224" spans="1:4">
      <c r="A224" s="28">
        <v>37477</v>
      </c>
      <c r="B224" s="29" t="s">
        <v>296</v>
      </c>
      <c r="C224" s="29">
        <v>945</v>
      </c>
      <c r="D224" s="29" t="s">
        <v>299</v>
      </c>
    </row>
    <row r="225" spans="1:4">
      <c r="A225" s="28">
        <v>37478</v>
      </c>
      <c r="B225" s="29" t="s">
        <v>296</v>
      </c>
      <c r="C225" s="29">
        <v>945</v>
      </c>
      <c r="D225" s="29" t="s">
        <v>297</v>
      </c>
    </row>
    <row r="226" spans="1:4">
      <c r="A226" s="28">
        <v>37479</v>
      </c>
      <c r="B226" s="29" t="s">
        <v>309</v>
      </c>
      <c r="C226" s="29">
        <v>945</v>
      </c>
      <c r="D226" s="29" t="s">
        <v>295</v>
      </c>
    </row>
    <row r="227" spans="1:4">
      <c r="A227" s="28">
        <v>37480</v>
      </c>
      <c r="B227" s="29" t="s">
        <v>308</v>
      </c>
      <c r="C227" s="29">
        <v>945</v>
      </c>
      <c r="D227" s="29" t="s">
        <v>294</v>
      </c>
    </row>
    <row r="228" spans="1:4">
      <c r="A228" s="28">
        <v>37481</v>
      </c>
      <c r="B228" s="29" t="s">
        <v>309</v>
      </c>
      <c r="C228" s="29">
        <v>945</v>
      </c>
      <c r="D228" s="29" t="s">
        <v>300</v>
      </c>
    </row>
    <row r="229" spans="1:4">
      <c r="A229" s="28">
        <v>37482</v>
      </c>
      <c r="B229" s="29" t="s">
        <v>309</v>
      </c>
      <c r="C229" s="29">
        <v>945</v>
      </c>
      <c r="D229" s="29" t="s">
        <v>301</v>
      </c>
    </row>
    <row r="230" spans="1:4">
      <c r="A230" s="28">
        <v>37483</v>
      </c>
      <c r="B230" s="29" t="s">
        <v>296</v>
      </c>
      <c r="C230" s="29">
        <v>945</v>
      </c>
      <c r="D230" s="29" t="s">
        <v>298</v>
      </c>
    </row>
    <row r="231" spans="1:4">
      <c r="A231" s="28">
        <v>37484</v>
      </c>
      <c r="B231" s="29" t="s">
        <v>296</v>
      </c>
      <c r="C231" s="29">
        <v>945</v>
      </c>
      <c r="D231" s="29" t="s">
        <v>299</v>
      </c>
    </row>
    <row r="232" spans="1:4">
      <c r="A232" s="28">
        <v>37485</v>
      </c>
      <c r="B232" s="29" t="s">
        <v>296</v>
      </c>
      <c r="C232" s="29">
        <v>945</v>
      </c>
      <c r="D232" s="29" t="s">
        <v>297</v>
      </c>
    </row>
    <row r="233" spans="1:4">
      <c r="A233" s="28">
        <v>37486</v>
      </c>
      <c r="B233" s="29" t="s">
        <v>309</v>
      </c>
      <c r="C233" s="29">
        <v>945</v>
      </c>
      <c r="D233" s="29" t="s">
        <v>295</v>
      </c>
    </row>
    <row r="234" spans="1:4">
      <c r="A234" s="28">
        <v>37487</v>
      </c>
      <c r="B234" s="29" t="s">
        <v>308</v>
      </c>
      <c r="C234" s="29">
        <v>945</v>
      </c>
      <c r="D234" s="29" t="s">
        <v>294</v>
      </c>
    </row>
    <row r="235" spans="1:4">
      <c r="A235" s="28">
        <v>37488</v>
      </c>
      <c r="B235" s="29" t="s">
        <v>309</v>
      </c>
      <c r="C235" s="29">
        <v>945</v>
      </c>
      <c r="D235" s="29" t="s">
        <v>300</v>
      </c>
    </row>
    <row r="236" spans="1:4">
      <c r="A236" s="28">
        <v>37489</v>
      </c>
      <c r="B236" s="29" t="s">
        <v>309</v>
      </c>
      <c r="C236" s="29">
        <v>945</v>
      </c>
      <c r="D236" s="29" t="s">
        <v>301</v>
      </c>
    </row>
    <row r="237" spans="1:4">
      <c r="A237" s="28">
        <v>37490</v>
      </c>
      <c r="B237" s="29" t="s">
        <v>296</v>
      </c>
      <c r="C237" s="29">
        <v>945</v>
      </c>
      <c r="D237" s="29" t="s">
        <v>298</v>
      </c>
    </row>
    <row r="238" spans="1:4">
      <c r="A238" s="28">
        <v>37491</v>
      </c>
      <c r="B238" s="29" t="s">
        <v>296</v>
      </c>
      <c r="C238" s="29">
        <v>945</v>
      </c>
      <c r="D238" s="29" t="s">
        <v>299</v>
      </c>
    </row>
    <row r="239" spans="1:4">
      <c r="A239" s="28">
        <v>37492</v>
      </c>
      <c r="B239" s="29" t="s">
        <v>296</v>
      </c>
      <c r="C239" s="29">
        <v>945</v>
      </c>
      <c r="D239" s="29" t="s">
        <v>297</v>
      </c>
    </row>
    <row r="240" spans="1:4">
      <c r="A240" s="28">
        <v>37493</v>
      </c>
      <c r="B240" s="29" t="s">
        <v>309</v>
      </c>
      <c r="C240" s="29">
        <v>945</v>
      </c>
      <c r="D240" s="29" t="s">
        <v>295</v>
      </c>
    </row>
    <row r="241" spans="1:4">
      <c r="A241" s="28">
        <v>37494</v>
      </c>
      <c r="B241" s="29" t="s">
        <v>308</v>
      </c>
      <c r="C241" s="29">
        <v>945</v>
      </c>
      <c r="D241" s="29" t="s">
        <v>294</v>
      </c>
    </row>
    <row r="242" spans="1:4">
      <c r="A242" s="28">
        <v>37495</v>
      </c>
      <c r="B242" s="29" t="s">
        <v>309</v>
      </c>
      <c r="C242" s="29">
        <v>945</v>
      </c>
      <c r="D242" s="29" t="s">
        <v>300</v>
      </c>
    </row>
    <row r="243" spans="1:4">
      <c r="A243" s="28">
        <v>37496</v>
      </c>
      <c r="B243" s="29" t="s">
        <v>309</v>
      </c>
      <c r="C243" s="29">
        <v>945</v>
      </c>
      <c r="D243" s="29" t="s">
        <v>301</v>
      </c>
    </row>
    <row r="244" spans="1:4">
      <c r="A244" s="28">
        <v>37497</v>
      </c>
      <c r="B244" s="29" t="s">
        <v>296</v>
      </c>
      <c r="C244" s="29">
        <v>945</v>
      </c>
      <c r="D244" s="29" t="s">
        <v>298</v>
      </c>
    </row>
    <row r="245" spans="1:4">
      <c r="A245" s="28">
        <v>37498</v>
      </c>
      <c r="B245" s="29" t="s">
        <v>296</v>
      </c>
      <c r="C245" s="29">
        <v>945</v>
      </c>
      <c r="D245" s="29" t="s">
        <v>299</v>
      </c>
    </row>
    <row r="246" spans="1:4">
      <c r="A246" s="28">
        <v>37499</v>
      </c>
      <c r="B246" s="29" t="s">
        <v>296</v>
      </c>
      <c r="C246" s="29">
        <v>945</v>
      </c>
      <c r="D246" s="29" t="s">
        <v>297</v>
      </c>
    </row>
    <row r="247" spans="1:4">
      <c r="A247" s="28">
        <v>37500</v>
      </c>
      <c r="B247" s="29" t="s">
        <v>309</v>
      </c>
      <c r="C247" s="29">
        <v>945</v>
      </c>
      <c r="D247" s="29" t="s">
        <v>295</v>
      </c>
    </row>
    <row r="248" spans="1:4">
      <c r="A248" s="28">
        <v>37501</v>
      </c>
      <c r="B248" s="29" t="s">
        <v>308</v>
      </c>
      <c r="C248" s="29">
        <v>945</v>
      </c>
      <c r="D248" s="29" t="s">
        <v>294</v>
      </c>
    </row>
    <row r="249" spans="1:4">
      <c r="A249" s="28">
        <v>37502</v>
      </c>
      <c r="B249" s="29" t="s">
        <v>309</v>
      </c>
      <c r="C249" s="29">
        <v>945</v>
      </c>
      <c r="D249" s="29" t="s">
        <v>300</v>
      </c>
    </row>
    <row r="250" spans="1:4">
      <c r="A250" s="28">
        <v>37503</v>
      </c>
      <c r="B250" s="29" t="s">
        <v>309</v>
      </c>
      <c r="C250" s="29">
        <v>945</v>
      </c>
      <c r="D250" s="29" t="s">
        <v>301</v>
      </c>
    </row>
    <row r="251" spans="1:4">
      <c r="A251" s="28">
        <v>37504</v>
      </c>
      <c r="B251" s="29" t="s">
        <v>296</v>
      </c>
      <c r="C251" s="29">
        <v>945</v>
      </c>
      <c r="D251" s="29" t="s">
        <v>298</v>
      </c>
    </row>
    <row r="252" spans="1:4">
      <c r="A252" s="28">
        <v>37504</v>
      </c>
      <c r="B252" s="29" t="s">
        <v>296</v>
      </c>
      <c r="C252" s="29">
        <v>2800</v>
      </c>
      <c r="D252" s="29" t="s">
        <v>299</v>
      </c>
    </row>
    <row r="253" spans="1:4">
      <c r="A253" s="28">
        <v>37506</v>
      </c>
      <c r="B253" s="29" t="s">
        <v>296</v>
      </c>
      <c r="C253" s="29">
        <v>945</v>
      </c>
      <c r="D253" s="29" t="s">
        <v>297</v>
      </c>
    </row>
    <row r="254" spans="1:4">
      <c r="A254" s="28">
        <v>37507</v>
      </c>
      <c r="B254" s="29" t="s">
        <v>309</v>
      </c>
      <c r="C254" s="29">
        <v>945</v>
      </c>
      <c r="D254" s="29" t="s">
        <v>295</v>
      </c>
    </row>
    <row r="255" spans="1:4">
      <c r="A255" s="28">
        <v>37508</v>
      </c>
      <c r="B255" s="29" t="s">
        <v>308</v>
      </c>
      <c r="C255" s="29">
        <v>945</v>
      </c>
      <c r="D255" s="29" t="s">
        <v>294</v>
      </c>
    </row>
    <row r="256" spans="1:4">
      <c r="A256" s="28">
        <v>37509</v>
      </c>
      <c r="B256" s="29" t="s">
        <v>309</v>
      </c>
      <c r="C256" s="29">
        <v>945</v>
      </c>
      <c r="D256" s="29" t="s">
        <v>300</v>
      </c>
    </row>
    <row r="257" spans="1:4">
      <c r="A257" s="28">
        <v>37510</v>
      </c>
      <c r="B257" s="29" t="s">
        <v>309</v>
      </c>
      <c r="C257" s="29">
        <v>945</v>
      </c>
      <c r="D257" s="29" t="s">
        <v>301</v>
      </c>
    </row>
    <row r="258" spans="1:4">
      <c r="A258" s="28">
        <v>37511</v>
      </c>
      <c r="B258" s="29" t="s">
        <v>296</v>
      </c>
      <c r="C258" s="29">
        <v>945</v>
      </c>
      <c r="D258" s="29" t="s">
        <v>298</v>
      </c>
    </row>
    <row r="259" spans="1:4">
      <c r="A259" s="28">
        <v>37512</v>
      </c>
      <c r="B259" s="29" t="s">
        <v>296</v>
      </c>
      <c r="C259" s="29">
        <v>945</v>
      </c>
      <c r="D259" s="29" t="s">
        <v>299</v>
      </c>
    </row>
    <row r="260" spans="1:4">
      <c r="A260" s="28">
        <v>37513</v>
      </c>
      <c r="B260" s="29" t="s">
        <v>296</v>
      </c>
      <c r="C260" s="29">
        <v>1800</v>
      </c>
      <c r="D260" s="29" t="s">
        <v>299</v>
      </c>
    </row>
    <row r="261" spans="1:4">
      <c r="A261" s="28">
        <v>37514</v>
      </c>
      <c r="B261" s="29" t="s">
        <v>309</v>
      </c>
      <c r="C261" s="29">
        <v>945</v>
      </c>
      <c r="D261" s="29" t="s">
        <v>295</v>
      </c>
    </row>
    <row r="262" spans="1:4">
      <c r="A262" s="28">
        <v>37515</v>
      </c>
      <c r="B262" s="29" t="s">
        <v>308</v>
      </c>
      <c r="C262" s="29">
        <v>945</v>
      </c>
      <c r="D262" s="29" t="s">
        <v>294</v>
      </c>
    </row>
    <row r="263" spans="1:4">
      <c r="A263" s="28">
        <v>37516</v>
      </c>
      <c r="B263" s="29" t="s">
        <v>309</v>
      </c>
      <c r="C263" s="29">
        <v>945</v>
      </c>
      <c r="D263" s="29" t="s">
        <v>300</v>
      </c>
    </row>
    <row r="264" spans="1:4">
      <c r="A264" s="28">
        <v>37517</v>
      </c>
      <c r="B264" s="29" t="s">
        <v>309</v>
      </c>
      <c r="C264" s="29">
        <v>945</v>
      </c>
      <c r="D264" s="29" t="s">
        <v>301</v>
      </c>
    </row>
    <row r="265" spans="1:4">
      <c r="A265" s="28">
        <v>37518</v>
      </c>
      <c r="B265" s="29" t="s">
        <v>296</v>
      </c>
      <c r="C265" s="29">
        <v>945</v>
      </c>
      <c r="D265" s="29" t="s">
        <v>298</v>
      </c>
    </row>
    <row r="266" spans="1:4">
      <c r="A266" s="28">
        <v>37519</v>
      </c>
      <c r="B266" s="29" t="s">
        <v>296</v>
      </c>
      <c r="C266" s="29">
        <v>945</v>
      </c>
      <c r="D266" s="29" t="s">
        <v>299</v>
      </c>
    </row>
    <row r="267" spans="1:4">
      <c r="A267" s="28">
        <v>37520</v>
      </c>
      <c r="B267" s="29" t="s">
        <v>296</v>
      </c>
      <c r="C267" s="29">
        <v>945</v>
      </c>
      <c r="D267" s="29" t="s">
        <v>297</v>
      </c>
    </row>
    <row r="268" spans="1:4">
      <c r="A268" s="28">
        <v>37521</v>
      </c>
      <c r="B268" s="29" t="s">
        <v>309</v>
      </c>
      <c r="C268" s="29">
        <v>945</v>
      </c>
      <c r="D268" s="29" t="s">
        <v>295</v>
      </c>
    </row>
    <row r="269" spans="1:4">
      <c r="A269" s="28">
        <v>37522</v>
      </c>
      <c r="B269" s="29" t="s">
        <v>308</v>
      </c>
      <c r="C269" s="29">
        <v>945</v>
      </c>
      <c r="D269" s="29" t="s">
        <v>294</v>
      </c>
    </row>
    <row r="270" spans="1:4">
      <c r="A270" s="28">
        <v>37523</v>
      </c>
      <c r="B270" s="29" t="s">
        <v>309</v>
      </c>
      <c r="C270" s="29">
        <v>945</v>
      </c>
      <c r="D270" s="29" t="s">
        <v>300</v>
      </c>
    </row>
    <row r="271" spans="1:4">
      <c r="A271" s="28">
        <v>37524</v>
      </c>
      <c r="B271" s="29" t="s">
        <v>309</v>
      </c>
      <c r="C271" s="29">
        <v>945</v>
      </c>
      <c r="D271" s="29" t="s">
        <v>301</v>
      </c>
    </row>
    <row r="272" spans="1:4">
      <c r="A272" s="28">
        <v>37525</v>
      </c>
      <c r="B272" s="29" t="s">
        <v>296</v>
      </c>
      <c r="C272" s="29">
        <v>945</v>
      </c>
      <c r="D272" s="29" t="s">
        <v>298</v>
      </c>
    </row>
    <row r="273" spans="1:4">
      <c r="A273" s="28">
        <v>37526</v>
      </c>
      <c r="B273" s="29" t="s">
        <v>296</v>
      </c>
      <c r="C273" s="29">
        <v>945</v>
      </c>
      <c r="D273" s="29" t="s">
        <v>299</v>
      </c>
    </row>
    <row r="274" spans="1:4">
      <c r="A274" s="28">
        <v>37527</v>
      </c>
      <c r="B274" s="29" t="s">
        <v>296</v>
      </c>
      <c r="C274" s="29">
        <v>945</v>
      </c>
      <c r="D274" s="29" t="s">
        <v>297</v>
      </c>
    </row>
    <row r="275" spans="1:4">
      <c r="A275" s="28">
        <v>37528</v>
      </c>
      <c r="B275" s="29" t="s">
        <v>309</v>
      </c>
      <c r="C275" s="29">
        <v>945</v>
      </c>
      <c r="D275" s="29" t="s">
        <v>295</v>
      </c>
    </row>
    <row r="276" spans="1:4">
      <c r="A276" s="28">
        <v>37529</v>
      </c>
      <c r="B276" s="29" t="s">
        <v>308</v>
      </c>
      <c r="C276" s="29">
        <v>945</v>
      </c>
      <c r="D276" s="29" t="s">
        <v>294</v>
      </c>
    </row>
    <row r="277" spans="1:4">
      <c r="A277" s="28">
        <v>37530</v>
      </c>
      <c r="B277" s="29" t="s">
        <v>309</v>
      </c>
      <c r="C277" s="29">
        <v>945</v>
      </c>
      <c r="D277" s="29" t="s">
        <v>300</v>
      </c>
    </row>
    <row r="278" spans="1:4">
      <c r="A278" s="28">
        <v>37531</v>
      </c>
      <c r="B278" s="29" t="s">
        <v>309</v>
      </c>
      <c r="C278" s="29">
        <v>945</v>
      </c>
      <c r="D278" s="29" t="s">
        <v>301</v>
      </c>
    </row>
    <row r="279" spans="1:4">
      <c r="A279" s="28">
        <v>37532</v>
      </c>
      <c r="B279" s="29" t="s">
        <v>296</v>
      </c>
      <c r="C279" s="29">
        <v>945</v>
      </c>
      <c r="D279" s="29" t="s">
        <v>298</v>
      </c>
    </row>
    <row r="280" spans="1:4">
      <c r="A280" s="28">
        <v>37533</v>
      </c>
      <c r="B280" s="29" t="s">
        <v>296</v>
      </c>
      <c r="C280" s="29">
        <v>945</v>
      </c>
      <c r="D280" s="29" t="s">
        <v>299</v>
      </c>
    </row>
    <row r="281" spans="1:4">
      <c r="A281" s="28">
        <v>37534</v>
      </c>
      <c r="B281" s="29" t="s">
        <v>296</v>
      </c>
      <c r="C281" s="29">
        <v>945</v>
      </c>
      <c r="D281" s="29" t="s">
        <v>297</v>
      </c>
    </row>
    <row r="282" spans="1:4">
      <c r="A282" s="28">
        <v>37535</v>
      </c>
      <c r="B282" s="29" t="s">
        <v>309</v>
      </c>
      <c r="C282" s="29">
        <v>945</v>
      </c>
      <c r="D282" s="29" t="s">
        <v>295</v>
      </c>
    </row>
    <row r="283" spans="1:4">
      <c r="A283" s="28">
        <v>37536</v>
      </c>
      <c r="B283" s="29" t="s">
        <v>308</v>
      </c>
      <c r="C283" s="29">
        <v>945</v>
      </c>
      <c r="D283" s="29" t="s">
        <v>294</v>
      </c>
    </row>
    <row r="284" spans="1:4">
      <c r="A284" s="28">
        <v>37537</v>
      </c>
      <c r="B284" s="29" t="s">
        <v>309</v>
      </c>
      <c r="C284" s="29">
        <v>945</v>
      </c>
      <c r="D284" s="29" t="s">
        <v>300</v>
      </c>
    </row>
    <row r="285" spans="1:4">
      <c r="A285" s="28">
        <v>37538</v>
      </c>
      <c r="B285" s="29" t="s">
        <v>309</v>
      </c>
      <c r="C285" s="29">
        <v>945</v>
      </c>
      <c r="D285" s="29" t="s">
        <v>301</v>
      </c>
    </row>
    <row r="286" spans="1:4">
      <c r="A286" s="28">
        <v>37539</v>
      </c>
      <c r="B286" s="29" t="s">
        <v>296</v>
      </c>
      <c r="C286" s="29">
        <v>945</v>
      </c>
      <c r="D286" s="29" t="s">
        <v>298</v>
      </c>
    </row>
    <row r="287" spans="1:4">
      <c r="A287" s="28">
        <v>37540</v>
      </c>
      <c r="B287" s="29" t="s">
        <v>296</v>
      </c>
      <c r="C287" s="29">
        <v>945</v>
      </c>
      <c r="D287" s="29" t="s">
        <v>299</v>
      </c>
    </row>
    <row r="288" spans="1:4">
      <c r="A288" s="28">
        <v>37541</v>
      </c>
      <c r="B288" s="29" t="s">
        <v>296</v>
      </c>
      <c r="C288" s="29">
        <v>945</v>
      </c>
      <c r="D288" s="29" t="s">
        <v>297</v>
      </c>
    </row>
    <row r="289" spans="1:4">
      <c r="A289" s="28">
        <v>37542</v>
      </c>
      <c r="B289" s="29" t="s">
        <v>309</v>
      </c>
      <c r="C289" s="29">
        <v>945</v>
      </c>
      <c r="D289" s="29" t="s">
        <v>295</v>
      </c>
    </row>
    <row r="290" spans="1:4">
      <c r="A290" s="28">
        <v>37543</v>
      </c>
      <c r="B290" s="29" t="s">
        <v>308</v>
      </c>
      <c r="C290" s="29">
        <v>945</v>
      </c>
      <c r="D290" s="29" t="s">
        <v>294</v>
      </c>
    </row>
    <row r="291" spans="1:4">
      <c r="A291" s="28">
        <v>37544</v>
      </c>
      <c r="B291" s="29" t="s">
        <v>309</v>
      </c>
      <c r="C291" s="29">
        <v>945</v>
      </c>
      <c r="D291" s="29" t="s">
        <v>300</v>
      </c>
    </row>
    <row r="292" spans="1:4">
      <c r="A292" s="28">
        <v>37545</v>
      </c>
      <c r="B292" s="29" t="s">
        <v>309</v>
      </c>
      <c r="C292" s="29">
        <v>945</v>
      </c>
      <c r="D292" s="29" t="s">
        <v>301</v>
      </c>
    </row>
    <row r="293" spans="1:4">
      <c r="A293" s="28">
        <v>37546</v>
      </c>
      <c r="B293" s="29" t="s">
        <v>296</v>
      </c>
      <c r="C293" s="29">
        <v>945</v>
      </c>
      <c r="D293" s="29" t="s">
        <v>298</v>
      </c>
    </row>
    <row r="294" spans="1:4">
      <c r="A294" s="28">
        <v>37547</v>
      </c>
      <c r="B294" s="29" t="s">
        <v>296</v>
      </c>
      <c r="C294" s="29">
        <v>945</v>
      </c>
      <c r="D294" s="29" t="s">
        <v>299</v>
      </c>
    </row>
    <row r="295" spans="1:4">
      <c r="A295" s="28">
        <v>37548</v>
      </c>
      <c r="B295" s="29" t="s">
        <v>296</v>
      </c>
      <c r="C295" s="29">
        <v>945</v>
      </c>
      <c r="D295" s="29" t="s">
        <v>297</v>
      </c>
    </row>
    <row r="296" spans="1:4">
      <c r="A296" s="28">
        <v>37549</v>
      </c>
      <c r="B296" s="29" t="s">
        <v>309</v>
      </c>
      <c r="C296" s="29">
        <v>945</v>
      </c>
      <c r="D296" s="29" t="s">
        <v>295</v>
      </c>
    </row>
    <row r="297" spans="1:4">
      <c r="A297" s="28">
        <v>37550</v>
      </c>
      <c r="B297" s="29" t="s">
        <v>308</v>
      </c>
      <c r="C297" s="29">
        <v>945</v>
      </c>
      <c r="D297" s="29" t="s">
        <v>294</v>
      </c>
    </row>
    <row r="298" spans="1:4">
      <c r="A298" s="28">
        <v>37551</v>
      </c>
      <c r="B298" s="29" t="s">
        <v>309</v>
      </c>
      <c r="C298" s="29">
        <v>945</v>
      </c>
      <c r="D298" s="29" t="s">
        <v>300</v>
      </c>
    </row>
    <row r="299" spans="1:4">
      <c r="A299" s="28">
        <v>37552</v>
      </c>
      <c r="B299" s="29" t="s">
        <v>309</v>
      </c>
      <c r="C299" s="29">
        <v>945</v>
      </c>
      <c r="D299" s="29" t="s">
        <v>301</v>
      </c>
    </row>
    <row r="300" spans="1:4">
      <c r="A300" s="28">
        <v>37553</v>
      </c>
      <c r="B300" s="29" t="s">
        <v>296</v>
      </c>
      <c r="C300" s="29">
        <v>945</v>
      </c>
      <c r="D300" s="29" t="s">
        <v>298</v>
      </c>
    </row>
    <row r="301" spans="1:4">
      <c r="A301" s="28">
        <v>37554</v>
      </c>
      <c r="B301" s="29" t="s">
        <v>296</v>
      </c>
      <c r="C301" s="29">
        <v>945</v>
      </c>
      <c r="D301" s="29" t="s">
        <v>299</v>
      </c>
    </row>
    <row r="302" spans="1:4">
      <c r="A302" s="28">
        <v>37555</v>
      </c>
      <c r="B302" s="29" t="s">
        <v>296</v>
      </c>
      <c r="C302" s="29">
        <v>945</v>
      </c>
      <c r="D302" s="29" t="s">
        <v>297</v>
      </c>
    </row>
    <row r="303" spans="1:4">
      <c r="A303" s="28">
        <v>37556</v>
      </c>
      <c r="B303" s="29" t="s">
        <v>309</v>
      </c>
      <c r="C303" s="29">
        <v>945</v>
      </c>
      <c r="D303" s="29" t="s">
        <v>295</v>
      </c>
    </row>
    <row r="304" spans="1:4">
      <c r="A304" s="28">
        <v>37557</v>
      </c>
      <c r="B304" s="29" t="s">
        <v>308</v>
      </c>
      <c r="C304" s="29">
        <v>945</v>
      </c>
      <c r="D304" s="29" t="s">
        <v>294</v>
      </c>
    </row>
    <row r="305" spans="1:4">
      <c r="A305" s="28">
        <v>37558</v>
      </c>
      <c r="B305" s="29" t="s">
        <v>309</v>
      </c>
      <c r="C305" s="29">
        <v>945</v>
      </c>
      <c r="D305" s="29" t="s">
        <v>300</v>
      </c>
    </row>
    <row r="306" spans="1:4">
      <c r="A306" s="28">
        <v>37559</v>
      </c>
      <c r="B306" s="29" t="s">
        <v>309</v>
      </c>
      <c r="C306" s="29">
        <v>945</v>
      </c>
      <c r="D306" s="29" t="s">
        <v>301</v>
      </c>
    </row>
    <row r="307" spans="1:4">
      <c r="A307" s="28">
        <v>37560</v>
      </c>
      <c r="B307" s="29" t="s">
        <v>296</v>
      </c>
      <c r="C307" s="29">
        <v>945</v>
      </c>
      <c r="D307" s="29" t="s">
        <v>298</v>
      </c>
    </row>
    <row r="308" spans="1:4">
      <c r="A308" s="28">
        <v>37561</v>
      </c>
      <c r="B308" s="29" t="s">
        <v>296</v>
      </c>
      <c r="C308" s="29">
        <v>945</v>
      </c>
      <c r="D308" s="29" t="s">
        <v>299</v>
      </c>
    </row>
    <row r="309" spans="1:4">
      <c r="A309" s="28">
        <v>37562</v>
      </c>
      <c r="B309" s="29" t="s">
        <v>296</v>
      </c>
      <c r="C309" s="29">
        <v>945</v>
      </c>
      <c r="D309" s="29" t="s">
        <v>297</v>
      </c>
    </row>
    <row r="310" spans="1:4">
      <c r="A310" s="28">
        <v>37563</v>
      </c>
      <c r="B310" s="29" t="s">
        <v>309</v>
      </c>
      <c r="C310" s="29">
        <v>945</v>
      </c>
      <c r="D310" s="29" t="s">
        <v>295</v>
      </c>
    </row>
    <row r="311" spans="1:4">
      <c r="A311" s="28">
        <v>37564</v>
      </c>
      <c r="B311" s="29" t="s">
        <v>308</v>
      </c>
      <c r="C311" s="29">
        <v>945</v>
      </c>
      <c r="D311" s="29" t="s">
        <v>294</v>
      </c>
    </row>
    <row r="312" spans="1:4">
      <c r="A312" s="28">
        <v>37565</v>
      </c>
      <c r="B312" s="29" t="s">
        <v>309</v>
      </c>
      <c r="C312" s="29">
        <v>945</v>
      </c>
      <c r="D312" s="29" t="s">
        <v>300</v>
      </c>
    </row>
    <row r="313" spans="1:4">
      <c r="A313" s="28">
        <v>37566</v>
      </c>
      <c r="B313" s="29" t="s">
        <v>309</v>
      </c>
      <c r="C313" s="29">
        <v>945</v>
      </c>
      <c r="D313" s="29" t="s">
        <v>301</v>
      </c>
    </row>
    <row r="314" spans="1:4">
      <c r="A314" s="28">
        <v>37567</v>
      </c>
      <c r="B314" s="29" t="s">
        <v>296</v>
      </c>
      <c r="C314" s="29">
        <v>945</v>
      </c>
      <c r="D314" s="29" t="s">
        <v>298</v>
      </c>
    </row>
    <row r="315" spans="1:4">
      <c r="A315" s="28">
        <v>37568</v>
      </c>
      <c r="B315" s="29" t="s">
        <v>296</v>
      </c>
      <c r="C315" s="29">
        <v>945</v>
      </c>
      <c r="D315" s="29" t="s">
        <v>299</v>
      </c>
    </row>
    <row r="316" spans="1:4">
      <c r="A316" s="28">
        <v>37569</v>
      </c>
      <c r="B316" s="29" t="s">
        <v>296</v>
      </c>
      <c r="C316" s="29">
        <v>945</v>
      </c>
      <c r="D316" s="29" t="s">
        <v>297</v>
      </c>
    </row>
    <row r="317" spans="1:4">
      <c r="A317" s="28">
        <v>37570</v>
      </c>
      <c r="B317" s="29" t="s">
        <v>309</v>
      </c>
      <c r="C317" s="29">
        <v>945</v>
      </c>
      <c r="D317" s="29" t="s">
        <v>295</v>
      </c>
    </row>
    <row r="318" spans="1:4">
      <c r="A318" s="28">
        <v>37571</v>
      </c>
      <c r="B318" s="29" t="s">
        <v>308</v>
      </c>
      <c r="C318" s="29">
        <v>945</v>
      </c>
      <c r="D318" s="29" t="s">
        <v>294</v>
      </c>
    </row>
    <row r="319" spans="1:4">
      <c r="A319" s="28">
        <v>37572</v>
      </c>
      <c r="B319" s="29" t="s">
        <v>309</v>
      </c>
      <c r="C319" s="29">
        <v>945</v>
      </c>
      <c r="D319" s="29" t="s">
        <v>300</v>
      </c>
    </row>
    <row r="320" spans="1:4">
      <c r="A320" s="28">
        <v>37573</v>
      </c>
      <c r="B320" s="29" t="s">
        <v>309</v>
      </c>
      <c r="C320" s="29">
        <v>945</v>
      </c>
      <c r="D320" s="29" t="s">
        <v>301</v>
      </c>
    </row>
    <row r="321" spans="1:4">
      <c r="A321" s="28">
        <v>37574</v>
      </c>
      <c r="B321" s="29" t="s">
        <v>296</v>
      </c>
      <c r="C321" s="29">
        <v>945</v>
      </c>
      <c r="D321" s="29" t="s">
        <v>298</v>
      </c>
    </row>
    <row r="322" spans="1:4">
      <c r="A322" s="28">
        <v>37575</v>
      </c>
      <c r="B322" s="29" t="s">
        <v>296</v>
      </c>
      <c r="C322" s="29">
        <v>945</v>
      </c>
      <c r="D322" s="29" t="s">
        <v>299</v>
      </c>
    </row>
    <row r="323" spans="1:4">
      <c r="A323" s="28">
        <v>37576</v>
      </c>
      <c r="B323" s="29" t="s">
        <v>296</v>
      </c>
      <c r="C323" s="29">
        <v>945</v>
      </c>
      <c r="D323" s="29" t="s">
        <v>297</v>
      </c>
    </row>
    <row r="324" spans="1:4">
      <c r="A324" s="28">
        <v>37577</v>
      </c>
      <c r="B324" s="29" t="s">
        <v>309</v>
      </c>
      <c r="C324" s="29">
        <v>945</v>
      </c>
      <c r="D324" s="29" t="s">
        <v>295</v>
      </c>
    </row>
    <row r="325" spans="1:4">
      <c r="A325" s="28">
        <v>37578</v>
      </c>
      <c r="B325" s="29" t="s">
        <v>308</v>
      </c>
      <c r="C325" s="29">
        <v>945</v>
      </c>
      <c r="D325" s="29" t="s">
        <v>294</v>
      </c>
    </row>
    <row r="326" spans="1:4">
      <c r="A326" s="28">
        <v>37579</v>
      </c>
      <c r="B326" s="29" t="s">
        <v>309</v>
      </c>
      <c r="C326" s="29">
        <v>945</v>
      </c>
      <c r="D326" s="29" t="s">
        <v>300</v>
      </c>
    </row>
    <row r="327" spans="1:4">
      <c r="A327" s="28">
        <v>37580</v>
      </c>
      <c r="B327" s="29" t="s">
        <v>309</v>
      </c>
      <c r="C327" s="29">
        <v>945</v>
      </c>
      <c r="D327" s="29" t="s">
        <v>301</v>
      </c>
    </row>
    <row r="328" spans="1:4">
      <c r="A328" s="28">
        <v>37581</v>
      </c>
      <c r="B328" s="29" t="s">
        <v>296</v>
      </c>
      <c r="C328" s="29">
        <v>945</v>
      </c>
      <c r="D328" s="29" t="s">
        <v>298</v>
      </c>
    </row>
    <row r="329" spans="1:4">
      <c r="A329" s="28">
        <v>37582</v>
      </c>
      <c r="B329" s="29" t="s">
        <v>296</v>
      </c>
      <c r="C329" s="29">
        <v>945</v>
      </c>
      <c r="D329" s="29" t="s">
        <v>299</v>
      </c>
    </row>
    <row r="330" spans="1:4">
      <c r="A330" s="28">
        <v>37583</v>
      </c>
      <c r="B330" s="29" t="s">
        <v>296</v>
      </c>
      <c r="C330" s="29">
        <v>945</v>
      </c>
      <c r="D330" s="29" t="s">
        <v>297</v>
      </c>
    </row>
    <row r="331" spans="1:4">
      <c r="A331" s="28">
        <v>37584</v>
      </c>
      <c r="B331" s="29" t="s">
        <v>309</v>
      </c>
      <c r="C331" s="29">
        <v>945</v>
      </c>
      <c r="D331" s="29" t="s">
        <v>295</v>
      </c>
    </row>
    <row r="332" spans="1:4">
      <c r="A332" s="28">
        <v>37585</v>
      </c>
      <c r="B332" s="29" t="s">
        <v>308</v>
      </c>
      <c r="C332" s="29">
        <v>945</v>
      </c>
      <c r="D332" s="29" t="s">
        <v>294</v>
      </c>
    </row>
    <row r="333" spans="1:4">
      <c r="A333" s="28">
        <v>37586</v>
      </c>
      <c r="B333" s="29" t="s">
        <v>309</v>
      </c>
      <c r="C333" s="29">
        <v>945</v>
      </c>
      <c r="D333" s="29" t="s">
        <v>300</v>
      </c>
    </row>
    <row r="334" spans="1:4">
      <c r="A334" s="28">
        <v>37587</v>
      </c>
      <c r="B334" s="29" t="s">
        <v>309</v>
      </c>
      <c r="C334" s="29">
        <v>945</v>
      </c>
      <c r="D334" s="29" t="s">
        <v>301</v>
      </c>
    </row>
    <row r="335" spans="1:4">
      <c r="A335" s="28">
        <v>37588</v>
      </c>
      <c r="B335" s="29" t="s">
        <v>296</v>
      </c>
      <c r="C335" s="29">
        <v>945</v>
      </c>
      <c r="D335" s="29" t="s">
        <v>298</v>
      </c>
    </row>
    <row r="336" spans="1:4">
      <c r="A336" s="28">
        <v>37589</v>
      </c>
      <c r="B336" s="29" t="s">
        <v>296</v>
      </c>
      <c r="C336" s="29">
        <v>945</v>
      </c>
      <c r="D336" s="29" t="s">
        <v>299</v>
      </c>
    </row>
    <row r="337" spans="1:4">
      <c r="A337" s="28">
        <v>37590</v>
      </c>
      <c r="B337" s="29" t="s">
        <v>296</v>
      </c>
      <c r="C337" s="29">
        <v>945</v>
      </c>
      <c r="D337" s="29" t="s">
        <v>297</v>
      </c>
    </row>
    <row r="338" spans="1:4">
      <c r="A338" s="28">
        <v>37591</v>
      </c>
      <c r="B338" s="29" t="s">
        <v>309</v>
      </c>
      <c r="C338" s="29">
        <v>945</v>
      </c>
      <c r="D338" s="29" t="s">
        <v>295</v>
      </c>
    </row>
    <row r="339" spans="1:4">
      <c r="A339" s="28">
        <v>37592</v>
      </c>
      <c r="B339" s="29" t="s">
        <v>308</v>
      </c>
      <c r="C339" s="29">
        <v>945</v>
      </c>
      <c r="D339" s="29" t="s">
        <v>294</v>
      </c>
    </row>
    <row r="340" spans="1:4">
      <c r="A340" s="28">
        <v>37593</v>
      </c>
      <c r="B340" s="29" t="s">
        <v>309</v>
      </c>
      <c r="C340" s="29">
        <v>945</v>
      </c>
      <c r="D340" s="29" t="s">
        <v>300</v>
      </c>
    </row>
    <row r="341" spans="1:4">
      <c r="A341" s="28">
        <v>37594</v>
      </c>
      <c r="B341" s="29" t="s">
        <v>309</v>
      </c>
      <c r="C341" s="29">
        <v>945</v>
      </c>
      <c r="D341" s="29" t="s">
        <v>301</v>
      </c>
    </row>
    <row r="342" spans="1:4">
      <c r="A342" s="28">
        <v>37595</v>
      </c>
      <c r="B342" s="29" t="s">
        <v>296</v>
      </c>
      <c r="C342" s="29">
        <v>945</v>
      </c>
      <c r="D342" s="29" t="s">
        <v>298</v>
      </c>
    </row>
    <row r="343" spans="1:4">
      <c r="A343" s="28">
        <v>37596</v>
      </c>
      <c r="B343" s="29" t="s">
        <v>296</v>
      </c>
      <c r="C343" s="29">
        <v>945</v>
      </c>
      <c r="D343" s="29" t="s">
        <v>299</v>
      </c>
    </row>
    <row r="344" spans="1:4">
      <c r="A344" s="28">
        <v>37597</v>
      </c>
      <c r="B344" s="29" t="s">
        <v>296</v>
      </c>
      <c r="C344" s="29">
        <v>945</v>
      </c>
      <c r="D344" s="29" t="s">
        <v>297</v>
      </c>
    </row>
    <row r="345" spans="1:4">
      <c r="A345" s="28">
        <v>37598</v>
      </c>
      <c r="B345" s="29" t="s">
        <v>309</v>
      </c>
      <c r="C345" s="29">
        <v>945</v>
      </c>
      <c r="D345" s="29" t="s">
        <v>295</v>
      </c>
    </row>
    <row r="346" spans="1:4">
      <c r="A346" s="28">
        <v>37599</v>
      </c>
      <c r="B346" s="29" t="s">
        <v>308</v>
      </c>
      <c r="C346" s="29">
        <v>945</v>
      </c>
      <c r="D346" s="29" t="s">
        <v>294</v>
      </c>
    </row>
    <row r="347" spans="1:4">
      <c r="A347" s="28">
        <v>37600</v>
      </c>
      <c r="B347" s="29" t="s">
        <v>309</v>
      </c>
      <c r="C347" s="29">
        <v>945</v>
      </c>
      <c r="D347" s="29" t="s">
        <v>300</v>
      </c>
    </row>
    <row r="348" spans="1:4">
      <c r="A348" s="28">
        <v>37601</v>
      </c>
      <c r="B348" s="29" t="s">
        <v>309</v>
      </c>
      <c r="C348" s="29">
        <v>945</v>
      </c>
      <c r="D348" s="29" t="s">
        <v>301</v>
      </c>
    </row>
    <row r="349" spans="1:4">
      <c r="A349" s="28">
        <v>37602</v>
      </c>
      <c r="B349" s="29" t="s">
        <v>296</v>
      </c>
      <c r="C349" s="29">
        <v>945</v>
      </c>
      <c r="D349" s="29" t="s">
        <v>298</v>
      </c>
    </row>
    <row r="350" spans="1:4">
      <c r="A350" s="28">
        <v>37603</v>
      </c>
      <c r="B350" s="29" t="s">
        <v>296</v>
      </c>
      <c r="C350" s="29">
        <v>945</v>
      </c>
      <c r="D350" s="29" t="s">
        <v>299</v>
      </c>
    </row>
    <row r="351" spans="1:4">
      <c r="A351" s="28">
        <v>37604</v>
      </c>
      <c r="B351" s="29" t="s">
        <v>296</v>
      </c>
      <c r="C351" s="29">
        <v>945</v>
      </c>
      <c r="D351" s="29" t="s">
        <v>297</v>
      </c>
    </row>
    <row r="352" spans="1:4">
      <c r="A352" s="28">
        <v>37605</v>
      </c>
      <c r="B352" s="29" t="s">
        <v>309</v>
      </c>
      <c r="C352" s="29">
        <v>945</v>
      </c>
      <c r="D352" s="29" t="s">
        <v>295</v>
      </c>
    </row>
    <row r="353" spans="1:4">
      <c r="A353" s="28">
        <v>37606</v>
      </c>
      <c r="B353" s="29" t="s">
        <v>308</v>
      </c>
      <c r="C353" s="29">
        <v>945</v>
      </c>
      <c r="D353" s="29" t="s">
        <v>294</v>
      </c>
    </row>
    <row r="354" spans="1:4">
      <c r="A354" s="28">
        <v>37607</v>
      </c>
      <c r="B354" s="29" t="s">
        <v>309</v>
      </c>
      <c r="C354" s="29">
        <v>945</v>
      </c>
      <c r="D354" s="29" t="s">
        <v>300</v>
      </c>
    </row>
    <row r="355" spans="1:4">
      <c r="A355" s="28">
        <v>37608</v>
      </c>
      <c r="B355" s="29" t="s">
        <v>309</v>
      </c>
      <c r="C355" s="29">
        <v>945</v>
      </c>
      <c r="D355" s="29" t="s">
        <v>301</v>
      </c>
    </row>
    <row r="356" spans="1:4">
      <c r="A356" s="28">
        <v>37609</v>
      </c>
      <c r="B356" s="29" t="s">
        <v>296</v>
      </c>
      <c r="C356" s="29">
        <v>945</v>
      </c>
      <c r="D356" s="29" t="s">
        <v>298</v>
      </c>
    </row>
    <row r="357" spans="1:4">
      <c r="A357" s="28">
        <v>37610</v>
      </c>
      <c r="B357" s="29" t="s">
        <v>296</v>
      </c>
      <c r="C357" s="29">
        <v>945</v>
      </c>
      <c r="D357" s="29" t="s">
        <v>299</v>
      </c>
    </row>
    <row r="358" spans="1:4">
      <c r="A358" s="28">
        <v>37611</v>
      </c>
      <c r="B358" s="29" t="s">
        <v>296</v>
      </c>
      <c r="C358" s="29">
        <v>945</v>
      </c>
      <c r="D358" s="29" t="s">
        <v>297</v>
      </c>
    </row>
    <row r="359" spans="1:4">
      <c r="A359" s="28">
        <v>37612</v>
      </c>
      <c r="B359" s="29" t="s">
        <v>309</v>
      </c>
      <c r="C359" s="29">
        <v>945</v>
      </c>
      <c r="D359" s="29" t="s">
        <v>295</v>
      </c>
    </row>
    <row r="360" spans="1:4">
      <c r="A360" s="28">
        <v>37613</v>
      </c>
      <c r="B360" s="29" t="s">
        <v>308</v>
      </c>
      <c r="C360" s="29">
        <v>945</v>
      </c>
      <c r="D360" s="29" t="s">
        <v>294</v>
      </c>
    </row>
    <row r="361" spans="1:4">
      <c r="A361" s="28">
        <v>37614</v>
      </c>
      <c r="B361" s="29" t="s">
        <v>309</v>
      </c>
      <c r="C361" s="29">
        <v>945</v>
      </c>
      <c r="D361" s="29" t="s">
        <v>300</v>
      </c>
    </row>
    <row r="362" spans="1:4">
      <c r="A362" s="28">
        <v>37615</v>
      </c>
      <c r="B362" s="29" t="s">
        <v>309</v>
      </c>
      <c r="C362" s="29">
        <v>945</v>
      </c>
      <c r="D362" s="29" t="s">
        <v>301</v>
      </c>
    </row>
    <row r="363" spans="1:4">
      <c r="A363" s="28">
        <v>37616</v>
      </c>
      <c r="B363" s="29" t="s">
        <v>296</v>
      </c>
      <c r="C363" s="29">
        <v>945</v>
      </c>
      <c r="D363" s="29" t="s">
        <v>298</v>
      </c>
    </row>
    <row r="364" spans="1:4">
      <c r="A364" s="28">
        <v>37617</v>
      </c>
      <c r="B364" s="29" t="s">
        <v>296</v>
      </c>
      <c r="C364" s="29">
        <v>945</v>
      </c>
      <c r="D364" s="29" t="s">
        <v>299</v>
      </c>
    </row>
    <row r="365" spans="1:4">
      <c r="A365" s="28">
        <v>37618</v>
      </c>
      <c r="B365" s="29" t="s">
        <v>296</v>
      </c>
      <c r="C365" s="29">
        <v>945</v>
      </c>
      <c r="D365" s="29" t="s">
        <v>297</v>
      </c>
    </row>
    <row r="366" spans="1:4">
      <c r="A366" s="28">
        <v>37619</v>
      </c>
      <c r="B366" s="29" t="s">
        <v>309</v>
      </c>
      <c r="C366" s="29">
        <v>945</v>
      </c>
      <c r="D366" s="29" t="s">
        <v>295</v>
      </c>
    </row>
    <row r="367" spans="1:4">
      <c r="A367" s="28">
        <v>37620</v>
      </c>
      <c r="B367" s="29" t="s">
        <v>308</v>
      </c>
      <c r="C367" s="29">
        <v>945</v>
      </c>
      <c r="D367" s="29" t="s">
        <v>294</v>
      </c>
    </row>
    <row r="368" spans="1:4">
      <c r="A368" s="28">
        <v>37621</v>
      </c>
      <c r="B368" s="29" t="s">
        <v>309</v>
      </c>
      <c r="C368" s="29">
        <v>945</v>
      </c>
      <c r="D368" s="29" t="s">
        <v>300</v>
      </c>
    </row>
  </sheetData>
  <autoFilter ref="A1:D368" xr:uid="{A2BF8578-39C5-4283-B6EE-DF0354CE223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96E7-F172-487D-B27C-3F482F4E5A84}">
  <dimension ref="A3:Q21"/>
  <sheetViews>
    <sheetView workbookViewId="0">
      <selection activeCell="C7" sqref="C7"/>
    </sheetView>
  </sheetViews>
  <sheetFormatPr defaultRowHeight="15"/>
  <cols>
    <col min="1" max="1" width="19.5703125" bestFit="1" customWidth="1"/>
    <col min="2" max="2" width="20.28515625" bestFit="1" customWidth="1"/>
    <col min="3" max="3" width="13.28515625" bestFit="1" customWidth="1"/>
    <col min="4" max="4" width="14" bestFit="1" customWidth="1"/>
    <col min="5" max="5" width="13.28515625" bestFit="1" customWidth="1"/>
    <col min="6" max="6" width="15.5703125" bestFit="1" customWidth="1"/>
    <col min="7" max="7" width="13.28515625" bestFit="1" customWidth="1"/>
    <col min="8" max="8" width="14" bestFit="1" customWidth="1"/>
    <col min="9" max="9" width="13.28515625" bestFit="1" customWidth="1"/>
    <col min="10" max="10" width="14" bestFit="1" customWidth="1"/>
    <col min="11" max="11" width="13.28515625" bestFit="1" customWidth="1"/>
    <col min="12" max="12" width="14" bestFit="1" customWidth="1"/>
    <col min="13" max="13" width="13.28515625" bestFit="1" customWidth="1"/>
    <col min="14" max="14" width="14" bestFit="1" customWidth="1"/>
    <col min="15" max="15" width="13.28515625" bestFit="1" customWidth="1"/>
    <col min="16" max="16" width="20.28515625" bestFit="1" customWidth="1"/>
    <col min="17" max="17" width="19.5703125" bestFit="1" customWidth="1"/>
  </cols>
  <sheetData>
    <row r="3" spans="1:17">
      <c r="B3" s="58" t="s">
        <v>399</v>
      </c>
    </row>
    <row r="4" spans="1:17">
      <c r="B4" t="s">
        <v>295</v>
      </c>
      <c r="D4" t="s">
        <v>294</v>
      </c>
      <c r="F4" t="s">
        <v>298</v>
      </c>
      <c r="H4" t="s">
        <v>301</v>
      </c>
      <c r="J4" t="s">
        <v>297</v>
      </c>
      <c r="L4" t="s">
        <v>299</v>
      </c>
      <c r="N4" t="s">
        <v>300</v>
      </c>
      <c r="P4" t="s">
        <v>401</v>
      </c>
      <c r="Q4" t="s">
        <v>402</v>
      </c>
    </row>
    <row r="5" spans="1:17">
      <c r="A5" s="58" t="s">
        <v>383</v>
      </c>
      <c r="B5" t="s">
        <v>400</v>
      </c>
      <c r="C5" t="s">
        <v>403</v>
      </c>
      <c r="D5" t="s">
        <v>400</v>
      </c>
      <c r="E5" t="s">
        <v>403</v>
      </c>
      <c r="F5" t="s">
        <v>400</v>
      </c>
      <c r="G5" t="s">
        <v>403</v>
      </c>
      <c r="H5" t="s">
        <v>400</v>
      </c>
      <c r="I5" t="s">
        <v>403</v>
      </c>
      <c r="J5" t="s">
        <v>400</v>
      </c>
      <c r="K5" t="s">
        <v>403</v>
      </c>
      <c r="L5" t="s">
        <v>400</v>
      </c>
      <c r="M5" t="s">
        <v>403</v>
      </c>
      <c r="N5" t="s">
        <v>400</v>
      </c>
      <c r="O5" t="s">
        <v>403</v>
      </c>
    </row>
    <row r="6" spans="1:17">
      <c r="A6" s="59" t="s">
        <v>385</v>
      </c>
      <c r="B6" s="60"/>
      <c r="C6" s="67">
        <v>0</v>
      </c>
      <c r="D6" s="60">
        <v>800</v>
      </c>
      <c r="E6" s="67">
        <v>0</v>
      </c>
      <c r="F6" s="60"/>
      <c r="G6" s="67">
        <v>0</v>
      </c>
      <c r="H6" s="60"/>
      <c r="I6" s="67">
        <v>0</v>
      </c>
      <c r="J6" s="60"/>
      <c r="K6" s="67">
        <v>0</v>
      </c>
      <c r="L6" s="60"/>
      <c r="M6" s="67">
        <v>0</v>
      </c>
      <c r="N6" s="60"/>
      <c r="O6" s="67">
        <v>0</v>
      </c>
      <c r="P6" s="60">
        <v>800</v>
      </c>
      <c r="Q6" s="67">
        <v>0</v>
      </c>
    </row>
    <row r="7" spans="1:17">
      <c r="A7" s="61" t="s">
        <v>386</v>
      </c>
      <c r="B7" s="60"/>
      <c r="C7" s="67">
        <v>0</v>
      </c>
      <c r="D7" s="60">
        <v>800</v>
      </c>
      <c r="E7" s="67">
        <v>0</v>
      </c>
      <c r="F7" s="60"/>
      <c r="G7" s="67">
        <v>0</v>
      </c>
      <c r="H7" s="60"/>
      <c r="I7" s="67">
        <v>0</v>
      </c>
      <c r="J7" s="60"/>
      <c r="K7" s="67">
        <v>0</v>
      </c>
      <c r="L7" s="60"/>
      <c r="M7" s="67">
        <v>0</v>
      </c>
      <c r="N7" s="60"/>
      <c r="O7" s="67">
        <v>0</v>
      </c>
      <c r="P7" s="60">
        <v>800</v>
      </c>
      <c r="Q7" s="67">
        <v>0</v>
      </c>
    </row>
    <row r="8" spans="1:17">
      <c r="A8" s="59" t="s">
        <v>387</v>
      </c>
      <c r="B8" s="60">
        <v>50140</v>
      </c>
      <c r="C8" s="67">
        <v>0</v>
      </c>
      <c r="D8" s="60">
        <v>50740</v>
      </c>
      <c r="E8" s="67">
        <v>0</v>
      </c>
      <c r="F8" s="60">
        <v>49195</v>
      </c>
      <c r="G8" s="67">
        <v>0</v>
      </c>
      <c r="H8" s="60">
        <v>48795</v>
      </c>
      <c r="I8" s="67">
        <v>0</v>
      </c>
      <c r="J8" s="60">
        <v>48195</v>
      </c>
      <c r="K8" s="67">
        <v>0</v>
      </c>
      <c r="L8" s="60">
        <v>51230</v>
      </c>
      <c r="M8" s="67">
        <v>0</v>
      </c>
      <c r="N8" s="60">
        <v>49706</v>
      </c>
      <c r="O8" s="67">
        <v>0</v>
      </c>
      <c r="P8" s="60">
        <v>348001</v>
      </c>
      <c r="Q8" s="67">
        <v>0</v>
      </c>
    </row>
    <row r="9" spans="1:17">
      <c r="A9" s="61" t="s">
        <v>388</v>
      </c>
      <c r="B9" s="60">
        <v>4780</v>
      </c>
      <c r="C9" s="67">
        <v>0</v>
      </c>
      <c r="D9" s="60">
        <v>3780</v>
      </c>
      <c r="E9" s="67">
        <v>0</v>
      </c>
      <c r="F9" s="60">
        <v>4780</v>
      </c>
      <c r="G9" s="67">
        <v>0</v>
      </c>
      <c r="H9" s="60">
        <v>4380</v>
      </c>
      <c r="I9" s="67">
        <v>0</v>
      </c>
      <c r="J9" s="60">
        <v>3780</v>
      </c>
      <c r="K9" s="67">
        <v>0</v>
      </c>
      <c r="L9" s="60">
        <v>3160</v>
      </c>
      <c r="M9" s="67">
        <v>0</v>
      </c>
      <c r="N9" s="60">
        <v>4346</v>
      </c>
      <c r="O9" s="67">
        <v>0</v>
      </c>
      <c r="P9" s="60">
        <v>29006</v>
      </c>
      <c r="Q9" s="67">
        <v>0</v>
      </c>
    </row>
    <row r="10" spans="1:17">
      <c r="A10" s="61" t="s">
        <v>389</v>
      </c>
      <c r="B10" s="60">
        <v>3780</v>
      </c>
      <c r="C10" s="67">
        <v>0</v>
      </c>
      <c r="D10" s="60">
        <v>3780</v>
      </c>
      <c r="E10" s="67">
        <v>0</v>
      </c>
      <c r="F10" s="60">
        <v>3780</v>
      </c>
      <c r="G10" s="67">
        <v>0</v>
      </c>
      <c r="H10" s="60">
        <v>3780</v>
      </c>
      <c r="I10" s="67">
        <v>0</v>
      </c>
      <c r="J10" s="60">
        <v>3780</v>
      </c>
      <c r="K10" s="67">
        <v>0</v>
      </c>
      <c r="L10" s="60">
        <v>2835</v>
      </c>
      <c r="M10" s="67">
        <v>0</v>
      </c>
      <c r="N10" s="60">
        <v>3780</v>
      </c>
      <c r="O10" s="67">
        <v>0</v>
      </c>
      <c r="P10" s="60">
        <v>25515</v>
      </c>
      <c r="Q10" s="67">
        <v>0</v>
      </c>
    </row>
    <row r="11" spans="1:17">
      <c r="A11" s="61" t="s">
        <v>390</v>
      </c>
      <c r="B11" s="60">
        <v>4725</v>
      </c>
      <c r="C11" s="67">
        <v>0</v>
      </c>
      <c r="D11" s="60">
        <v>3780</v>
      </c>
      <c r="E11" s="67">
        <v>0</v>
      </c>
      <c r="F11" s="60">
        <v>3780</v>
      </c>
      <c r="G11" s="67">
        <v>0</v>
      </c>
      <c r="H11" s="60">
        <v>3780</v>
      </c>
      <c r="I11" s="67">
        <v>0</v>
      </c>
      <c r="J11" s="60">
        <v>4725</v>
      </c>
      <c r="K11" s="67">
        <v>0</v>
      </c>
      <c r="L11" s="60">
        <v>4725</v>
      </c>
      <c r="M11" s="67">
        <v>0</v>
      </c>
      <c r="N11" s="60">
        <v>3780</v>
      </c>
      <c r="O11" s="67">
        <v>0</v>
      </c>
      <c r="P11" s="60">
        <v>29295</v>
      </c>
      <c r="Q11" s="67">
        <v>0</v>
      </c>
    </row>
    <row r="12" spans="1:17">
      <c r="A12" s="61" t="s">
        <v>391</v>
      </c>
      <c r="B12" s="60">
        <v>3780</v>
      </c>
      <c r="C12" s="67">
        <v>0</v>
      </c>
      <c r="D12" s="60">
        <v>4725</v>
      </c>
      <c r="E12" s="67">
        <v>0</v>
      </c>
      <c r="F12" s="60">
        <v>3780</v>
      </c>
      <c r="G12" s="67">
        <v>0</v>
      </c>
      <c r="H12" s="60">
        <v>3780</v>
      </c>
      <c r="I12" s="67">
        <v>0</v>
      </c>
      <c r="J12" s="60">
        <v>3780</v>
      </c>
      <c r="K12" s="67">
        <v>0</v>
      </c>
      <c r="L12" s="60">
        <v>3780</v>
      </c>
      <c r="M12" s="67">
        <v>0</v>
      </c>
      <c r="N12" s="60">
        <v>4725</v>
      </c>
      <c r="O12" s="67">
        <v>0</v>
      </c>
      <c r="P12" s="60">
        <v>28350</v>
      </c>
      <c r="Q12" s="67">
        <v>0</v>
      </c>
    </row>
    <row r="13" spans="1:17">
      <c r="A13" s="61" t="s">
        <v>392</v>
      </c>
      <c r="B13" s="60">
        <v>3780</v>
      </c>
      <c r="C13" s="67">
        <v>0</v>
      </c>
      <c r="D13" s="60">
        <v>3780</v>
      </c>
      <c r="E13" s="67">
        <v>0</v>
      </c>
      <c r="F13" s="60">
        <v>4725</v>
      </c>
      <c r="G13" s="67">
        <v>0</v>
      </c>
      <c r="H13" s="60">
        <v>4725</v>
      </c>
      <c r="I13" s="67">
        <v>0</v>
      </c>
      <c r="J13" s="60">
        <v>3780</v>
      </c>
      <c r="K13" s="67">
        <v>0</v>
      </c>
      <c r="L13" s="60">
        <v>4725</v>
      </c>
      <c r="M13" s="67">
        <v>0</v>
      </c>
      <c r="N13" s="60">
        <v>3780</v>
      </c>
      <c r="O13" s="67">
        <v>0</v>
      </c>
      <c r="P13" s="60">
        <v>29295</v>
      </c>
      <c r="Q13" s="67">
        <v>0</v>
      </c>
    </row>
    <row r="14" spans="1:17">
      <c r="A14" s="61" t="s">
        <v>386</v>
      </c>
      <c r="B14" s="60">
        <v>4725</v>
      </c>
      <c r="C14" s="67">
        <v>0</v>
      </c>
      <c r="D14" s="60">
        <v>5380</v>
      </c>
      <c r="E14" s="67">
        <v>0</v>
      </c>
      <c r="F14" s="60">
        <v>3780</v>
      </c>
      <c r="G14" s="67">
        <v>0</v>
      </c>
      <c r="H14" s="60">
        <v>3780</v>
      </c>
      <c r="I14" s="67">
        <v>0</v>
      </c>
      <c r="J14" s="60">
        <v>4725</v>
      </c>
      <c r="K14" s="67">
        <v>0</v>
      </c>
      <c r="L14" s="60">
        <v>3780</v>
      </c>
      <c r="M14" s="67">
        <v>0</v>
      </c>
      <c r="N14" s="60">
        <v>3780</v>
      </c>
      <c r="O14" s="67">
        <v>0</v>
      </c>
      <c r="P14" s="60">
        <v>29950</v>
      </c>
      <c r="Q14" s="67">
        <v>0</v>
      </c>
    </row>
    <row r="15" spans="1:17">
      <c r="A15" s="61" t="s">
        <v>393</v>
      </c>
      <c r="B15" s="60">
        <v>3780</v>
      </c>
      <c r="C15" s="67">
        <v>0</v>
      </c>
      <c r="D15" s="60">
        <v>4725</v>
      </c>
      <c r="E15" s="67">
        <v>0</v>
      </c>
      <c r="F15" s="60">
        <v>3780</v>
      </c>
      <c r="G15" s="67">
        <v>0</v>
      </c>
      <c r="H15" s="60">
        <v>4725</v>
      </c>
      <c r="I15" s="67">
        <v>0</v>
      </c>
      <c r="J15" s="60">
        <v>3780</v>
      </c>
      <c r="K15" s="67">
        <v>0</v>
      </c>
      <c r="L15" s="60">
        <v>3780</v>
      </c>
      <c r="M15" s="67">
        <v>0</v>
      </c>
      <c r="N15" s="60">
        <v>4725</v>
      </c>
      <c r="O15" s="67">
        <v>0</v>
      </c>
      <c r="P15" s="60">
        <v>29295</v>
      </c>
      <c r="Q15" s="67">
        <v>0</v>
      </c>
    </row>
    <row r="16" spans="1:17">
      <c r="A16" s="61" t="s">
        <v>394</v>
      </c>
      <c r="B16" s="60">
        <v>3780</v>
      </c>
      <c r="C16" s="67">
        <v>0</v>
      </c>
      <c r="D16" s="60">
        <v>3780</v>
      </c>
      <c r="E16" s="67">
        <v>0</v>
      </c>
      <c r="F16" s="60">
        <v>4725</v>
      </c>
      <c r="G16" s="67">
        <v>0</v>
      </c>
      <c r="H16" s="60">
        <v>3780</v>
      </c>
      <c r="I16" s="67">
        <v>0</v>
      </c>
      <c r="J16" s="60">
        <v>4725</v>
      </c>
      <c r="K16" s="67">
        <v>0</v>
      </c>
      <c r="L16" s="60">
        <v>4725</v>
      </c>
      <c r="M16" s="67">
        <v>0</v>
      </c>
      <c r="N16" s="60">
        <v>3780</v>
      </c>
      <c r="O16" s="67">
        <v>0</v>
      </c>
      <c r="P16" s="60">
        <v>29295</v>
      </c>
      <c r="Q16" s="67">
        <v>0</v>
      </c>
    </row>
    <row r="17" spans="1:17">
      <c r="A17" s="61" t="s">
        <v>395</v>
      </c>
      <c r="B17" s="60">
        <v>4725</v>
      </c>
      <c r="C17" s="67">
        <v>0</v>
      </c>
      <c r="D17" s="60">
        <v>4725</v>
      </c>
      <c r="E17" s="67">
        <v>0</v>
      </c>
      <c r="F17" s="60">
        <v>3780</v>
      </c>
      <c r="G17" s="67">
        <v>0</v>
      </c>
      <c r="H17" s="60">
        <v>3780</v>
      </c>
      <c r="I17" s="67">
        <v>0</v>
      </c>
      <c r="J17" s="60">
        <v>2835</v>
      </c>
      <c r="K17" s="67">
        <v>0</v>
      </c>
      <c r="L17" s="60">
        <v>7435</v>
      </c>
      <c r="M17" s="67">
        <v>0</v>
      </c>
      <c r="N17" s="60">
        <v>3780</v>
      </c>
      <c r="O17" s="67">
        <v>0</v>
      </c>
      <c r="P17" s="60">
        <v>31060</v>
      </c>
      <c r="Q17" s="67">
        <v>0</v>
      </c>
    </row>
    <row r="18" spans="1:17">
      <c r="A18" s="61" t="s">
        <v>396</v>
      </c>
      <c r="B18" s="60">
        <v>3780</v>
      </c>
      <c r="C18" s="67">
        <v>0</v>
      </c>
      <c r="D18" s="60">
        <v>3780</v>
      </c>
      <c r="E18" s="67">
        <v>0</v>
      </c>
      <c r="F18" s="60">
        <v>4725</v>
      </c>
      <c r="G18" s="67">
        <v>0</v>
      </c>
      <c r="H18" s="60">
        <v>4725</v>
      </c>
      <c r="I18" s="67">
        <v>0</v>
      </c>
      <c r="J18" s="60">
        <v>3780</v>
      </c>
      <c r="K18" s="67">
        <v>0</v>
      </c>
      <c r="L18" s="60">
        <v>3780</v>
      </c>
      <c r="M18" s="67">
        <v>0</v>
      </c>
      <c r="N18" s="60">
        <v>4725</v>
      </c>
      <c r="O18" s="67">
        <v>0</v>
      </c>
      <c r="P18" s="60">
        <v>29295</v>
      </c>
      <c r="Q18" s="67">
        <v>0</v>
      </c>
    </row>
    <row r="19" spans="1:17">
      <c r="A19" s="61" t="s">
        <v>397</v>
      </c>
      <c r="B19" s="60">
        <v>3780</v>
      </c>
      <c r="C19" s="67">
        <v>0</v>
      </c>
      <c r="D19" s="60">
        <v>3780</v>
      </c>
      <c r="E19" s="67">
        <v>0</v>
      </c>
      <c r="F19" s="60">
        <v>3780</v>
      </c>
      <c r="G19" s="67">
        <v>0</v>
      </c>
      <c r="H19" s="60">
        <v>3780</v>
      </c>
      <c r="I19" s="67">
        <v>0</v>
      </c>
      <c r="J19" s="60">
        <v>4725</v>
      </c>
      <c r="K19" s="67">
        <v>0</v>
      </c>
      <c r="L19" s="60">
        <v>4725</v>
      </c>
      <c r="M19" s="67">
        <v>0</v>
      </c>
      <c r="N19" s="60">
        <v>3780</v>
      </c>
      <c r="O19" s="67">
        <v>0</v>
      </c>
      <c r="P19" s="60">
        <v>28350</v>
      </c>
      <c r="Q19" s="67">
        <v>0</v>
      </c>
    </row>
    <row r="20" spans="1:17">
      <c r="A20" s="61" t="s">
        <v>398</v>
      </c>
      <c r="B20" s="60">
        <v>4725</v>
      </c>
      <c r="C20" s="67">
        <v>0</v>
      </c>
      <c r="D20" s="60">
        <v>4725</v>
      </c>
      <c r="E20" s="67">
        <v>0</v>
      </c>
      <c r="F20" s="60">
        <v>3780</v>
      </c>
      <c r="G20" s="67">
        <v>0</v>
      </c>
      <c r="H20" s="60">
        <v>3780</v>
      </c>
      <c r="I20" s="67">
        <v>0</v>
      </c>
      <c r="J20" s="60">
        <v>3780</v>
      </c>
      <c r="K20" s="67">
        <v>0</v>
      </c>
      <c r="L20" s="60">
        <v>3780</v>
      </c>
      <c r="M20" s="67">
        <v>0</v>
      </c>
      <c r="N20" s="60">
        <v>4725</v>
      </c>
      <c r="O20" s="67">
        <v>0</v>
      </c>
      <c r="P20" s="60">
        <v>29295</v>
      </c>
      <c r="Q20" s="67">
        <v>0</v>
      </c>
    </row>
    <row r="21" spans="1:17">
      <c r="A21" s="59" t="s">
        <v>384</v>
      </c>
      <c r="B21" s="60">
        <v>50140</v>
      </c>
      <c r="C21" s="67">
        <v>0</v>
      </c>
      <c r="D21" s="60">
        <v>51540</v>
      </c>
      <c r="E21" s="67">
        <v>0</v>
      </c>
      <c r="F21" s="60">
        <v>49195</v>
      </c>
      <c r="G21" s="67">
        <v>0</v>
      </c>
      <c r="H21" s="60">
        <v>48795</v>
      </c>
      <c r="I21" s="67">
        <v>0</v>
      </c>
      <c r="J21" s="60">
        <v>48195</v>
      </c>
      <c r="K21" s="67">
        <v>0</v>
      </c>
      <c r="L21" s="60">
        <v>51230</v>
      </c>
      <c r="M21" s="67">
        <v>0</v>
      </c>
      <c r="N21" s="60">
        <v>49706</v>
      </c>
      <c r="O21" s="67">
        <v>0</v>
      </c>
      <c r="P21" s="60">
        <v>348801</v>
      </c>
      <c r="Q21" s="67"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Дані</vt:lpstr>
      <vt:lpstr>Завдання 1</vt:lpstr>
      <vt:lpstr>Завдання 2</vt:lpstr>
      <vt:lpstr>Завдання 3</vt:lpstr>
      <vt:lpstr>Завдання 4</vt:lpstr>
      <vt:lpstr>Завдання 5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</cp:lastModifiedBy>
  <dcterms:created xsi:type="dcterms:W3CDTF">2015-06-05T18:19:34Z</dcterms:created>
  <dcterms:modified xsi:type="dcterms:W3CDTF">2026-04-29T04:21:42Z</dcterms:modified>
</cp:coreProperties>
</file>